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XL\Code\9FCadWebService\autoCadPy\input\样例\"/>
    </mc:Choice>
  </mc:AlternateContent>
  <xr:revisionPtr revIDLastSave="0" documentId="13_ncr:1_{FFA8493D-2125-4B69-BCE1-922EFF92A39B}" xr6:coauthVersionLast="47" xr6:coauthVersionMax="47" xr10:uidLastSave="{00000000-0000-0000-0000-000000000000}"/>
  <bookViews>
    <workbookView xWindow="-93" yWindow="-93" windowWidth="25786" windowHeight="15466" tabRatio="787" activeTab="3" xr2:uid="{00000000-000D-0000-FFFF-FFFF00000000}"/>
  </bookViews>
  <sheets>
    <sheet name="  单体1#" sheetId="54" r:id="rId1"/>
    <sheet name="1#" sheetId="45" r:id="rId2"/>
    <sheet name="  单体2#" sheetId="55" r:id="rId3"/>
    <sheet name="2#" sheetId="52" r:id="rId4"/>
    <sheet name="单体15-5配电房" sheetId="56" r:id="rId5"/>
    <sheet name="15-5配电房" sheetId="53" r:id="rId6"/>
    <sheet name="单地" sheetId="59" r:id="rId7"/>
    <sheet name="统地" sheetId="60" r:id="rId8"/>
    <sheet name="对比表" sheetId="61" r:id="rId9"/>
    <sheet name="综统" sheetId="58" r:id="rId10"/>
  </sheets>
  <externalReferences>
    <externalReference r:id="rId11"/>
  </externalReferences>
  <definedNames>
    <definedName name="_xlnm.Print_Area" localSheetId="1">'1#'!$A$1:$V$21</definedName>
    <definedName name="_xlnm.Print_Area" localSheetId="5">'15-5配电房'!$A$1:$V$21</definedName>
    <definedName name="_xlnm.Print_Area" localSheetId="3">'2#'!$A$1:$V$21</definedName>
    <definedName name="_xlnm.Print_Area" localSheetId="8">对比表!$A$1:$I$39</definedName>
    <definedName name="_xlnm.Print_Area" localSheetId="9">综统!$A$1:$Y$22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0" i="58" l="1"/>
  <c r="H30" i="61" s="1"/>
  <c r="H27" i="61" s="1"/>
  <c r="P11" i="58"/>
  <c r="W9" i="58"/>
  <c r="H9" i="58"/>
  <c r="G9" i="58" s="1"/>
  <c r="W8" i="58"/>
  <c r="F8" i="58"/>
  <c r="W7" i="58"/>
  <c r="S7" i="58"/>
  <c r="F7" i="58"/>
  <c r="W6" i="58"/>
  <c r="W20" i="58" s="1"/>
  <c r="H31" i="61"/>
  <c r="O22" i="60"/>
  <c r="N22" i="60"/>
  <c r="L22" i="60"/>
  <c r="K22" i="60"/>
  <c r="J22" i="60"/>
  <c r="I22" i="60"/>
  <c r="F22" i="60"/>
  <c r="C22" i="60"/>
  <c r="H7" i="60"/>
  <c r="H6" i="60"/>
  <c r="H22" i="60" s="1"/>
  <c r="H17" i="59"/>
  <c r="G12" i="59"/>
  <c r="D11" i="59"/>
  <c r="E10" i="59"/>
  <c r="G10" i="59" s="1"/>
  <c r="D10" i="59"/>
  <c r="B10" i="59"/>
  <c r="B17" i="59" s="1"/>
  <c r="G6" i="59"/>
  <c r="G5" i="59"/>
  <c r="E5" i="59"/>
  <c r="G4" i="59"/>
  <c r="D4" i="59"/>
  <c r="E3" i="59"/>
  <c r="G3" i="59" s="1"/>
  <c r="D3" i="59"/>
  <c r="B3" i="59"/>
  <c r="U20" i="53"/>
  <c r="Q20" i="53"/>
  <c r="C12" i="56" s="1"/>
  <c r="S8" i="58" s="1"/>
  <c r="P20" i="53"/>
  <c r="C11" i="56" s="1"/>
  <c r="R8" i="58" s="1"/>
  <c r="O20" i="53"/>
  <c r="M20" i="53"/>
  <c r="L20" i="53"/>
  <c r="K20" i="53"/>
  <c r="J20" i="53"/>
  <c r="C6" i="56" s="1"/>
  <c r="L8" i="58" s="1"/>
  <c r="C20" i="53"/>
  <c r="T19" i="53"/>
  <c r="R19" i="53" s="1"/>
  <c r="I19" i="53"/>
  <c r="G19" i="53"/>
  <c r="E19" i="53" s="1"/>
  <c r="D19" i="53" s="1"/>
  <c r="T18" i="53"/>
  <c r="R18" i="53" s="1"/>
  <c r="I18" i="53"/>
  <c r="G18" i="53"/>
  <c r="E18" i="53" s="1"/>
  <c r="T17" i="53"/>
  <c r="R17" i="53" s="1"/>
  <c r="I17" i="53"/>
  <c r="G17" i="53"/>
  <c r="E17" i="53" s="1"/>
  <c r="D17" i="53" s="1"/>
  <c r="T16" i="53"/>
  <c r="R16" i="53" s="1"/>
  <c r="I16" i="53"/>
  <c r="G16" i="53"/>
  <c r="E16" i="53" s="1"/>
  <c r="T15" i="53"/>
  <c r="R15" i="53" s="1"/>
  <c r="I15" i="53"/>
  <c r="G15" i="53"/>
  <c r="E15" i="53" s="1"/>
  <c r="T14" i="53"/>
  <c r="R14" i="53"/>
  <c r="I14" i="53"/>
  <c r="G14" i="53"/>
  <c r="E14" i="53" s="1"/>
  <c r="D14" i="53" s="1"/>
  <c r="T13" i="53"/>
  <c r="R13" i="53" s="1"/>
  <c r="I13" i="53"/>
  <c r="G13" i="53"/>
  <c r="E13" i="53" s="1"/>
  <c r="D13" i="53" s="1"/>
  <c r="T12" i="53"/>
  <c r="R12" i="53" s="1"/>
  <c r="D12" i="53" s="1"/>
  <c r="N12" i="53"/>
  <c r="I12" i="53"/>
  <c r="G12" i="53"/>
  <c r="E12" i="53"/>
  <c r="T11" i="53"/>
  <c r="R11" i="53" s="1"/>
  <c r="D11" i="53" s="1"/>
  <c r="N11" i="53"/>
  <c r="N20" i="53" s="1"/>
  <c r="I11" i="53"/>
  <c r="G11" i="53"/>
  <c r="E11" i="53"/>
  <c r="T7" i="53"/>
  <c r="R7" i="53"/>
  <c r="N7" i="53"/>
  <c r="I7" i="53"/>
  <c r="G7" i="53"/>
  <c r="E7" i="53" s="1"/>
  <c r="D7" i="53" s="1"/>
  <c r="T6" i="53"/>
  <c r="T20" i="53" s="1"/>
  <c r="C13" i="56" s="1"/>
  <c r="U8" i="58" s="1"/>
  <c r="N6" i="53"/>
  <c r="I6" i="53"/>
  <c r="I20" i="53" s="1"/>
  <c r="C5" i="56" s="1"/>
  <c r="K8" i="58" s="1"/>
  <c r="G6" i="53"/>
  <c r="G20" i="53" s="1"/>
  <c r="C4" i="56" s="1"/>
  <c r="C14" i="56"/>
  <c r="V8" i="58" s="1"/>
  <c r="C10" i="56"/>
  <c r="Q8" i="58" s="1"/>
  <c r="P8" i="58" s="1"/>
  <c r="C9" i="56"/>
  <c r="O8" i="58" s="1"/>
  <c r="C8" i="56"/>
  <c r="N8" i="58" s="1"/>
  <c r="C7" i="56"/>
  <c r="M8" i="58" s="1"/>
  <c r="B4" i="56"/>
  <c r="A4" i="56"/>
  <c r="U20" i="52"/>
  <c r="Q20" i="52"/>
  <c r="P20" i="52"/>
  <c r="C11" i="55" s="1"/>
  <c r="R7" i="58" s="1"/>
  <c r="O20" i="52"/>
  <c r="C10" i="55" s="1"/>
  <c r="M20" i="52"/>
  <c r="C9" i="55" s="1"/>
  <c r="O7" i="58" s="1"/>
  <c r="L20" i="52"/>
  <c r="C8" i="55" s="1"/>
  <c r="N7" i="58" s="1"/>
  <c r="K20" i="52"/>
  <c r="C7" i="55" s="1"/>
  <c r="M7" i="58" s="1"/>
  <c r="J20" i="52"/>
  <c r="C6" i="55" s="1"/>
  <c r="L7" i="58" s="1"/>
  <c r="C20" i="52"/>
  <c r="T19" i="52"/>
  <c r="R19" i="52"/>
  <c r="I19" i="52"/>
  <c r="G19" i="52"/>
  <c r="E19" i="52"/>
  <c r="D19" i="52" s="1"/>
  <c r="T18" i="52"/>
  <c r="R18" i="52"/>
  <c r="D18" i="52" s="1"/>
  <c r="I18" i="52"/>
  <c r="G18" i="52"/>
  <c r="E18" i="52"/>
  <c r="T17" i="52"/>
  <c r="R17" i="52"/>
  <c r="I17" i="52"/>
  <c r="G17" i="52"/>
  <c r="E17" i="52"/>
  <c r="D17" i="52"/>
  <c r="T16" i="52"/>
  <c r="R16" i="52"/>
  <c r="I16" i="52"/>
  <c r="G16" i="52"/>
  <c r="E16" i="52"/>
  <c r="D16" i="52"/>
  <c r="T15" i="52"/>
  <c r="R15" i="52"/>
  <c r="I15" i="52"/>
  <c r="G15" i="52"/>
  <c r="E15" i="52"/>
  <c r="D15" i="52" s="1"/>
  <c r="T14" i="52"/>
  <c r="R14" i="52"/>
  <c r="D14" i="52" s="1"/>
  <c r="I14" i="52"/>
  <c r="G14" i="52"/>
  <c r="E14" i="52"/>
  <c r="T13" i="52"/>
  <c r="R13" i="52"/>
  <c r="I13" i="52"/>
  <c r="E13" i="52" s="1"/>
  <c r="D13" i="52" s="1"/>
  <c r="G13" i="52"/>
  <c r="T12" i="52"/>
  <c r="R12" i="52"/>
  <c r="N12" i="52"/>
  <c r="I12" i="52"/>
  <c r="G12" i="52"/>
  <c r="E12" i="52"/>
  <c r="D12" i="52" s="1"/>
  <c r="T11" i="52"/>
  <c r="R11" i="52" s="1"/>
  <c r="N11" i="52"/>
  <c r="I11" i="52"/>
  <c r="E11" i="52" s="1"/>
  <c r="G11" i="52"/>
  <c r="T10" i="52"/>
  <c r="R10" i="52"/>
  <c r="N10" i="52"/>
  <c r="I10" i="52"/>
  <c r="G10" i="52"/>
  <c r="E10" i="52"/>
  <c r="D10" i="52"/>
  <c r="T9" i="52"/>
  <c r="N9" i="52"/>
  <c r="I9" i="52"/>
  <c r="G9" i="52"/>
  <c r="E9" i="52"/>
  <c r="D9" i="52" s="1"/>
  <c r="T8" i="52"/>
  <c r="R8" i="52"/>
  <c r="N8" i="52"/>
  <c r="H8" i="52"/>
  <c r="I8" i="52" s="1"/>
  <c r="F8" i="52"/>
  <c r="G8" i="52" s="1"/>
  <c r="T7" i="52"/>
  <c r="R7" i="52"/>
  <c r="N7" i="52"/>
  <c r="I7" i="52"/>
  <c r="F7" i="52"/>
  <c r="G7" i="52" s="1"/>
  <c r="E7" i="52" s="1"/>
  <c r="D7" i="52" s="1"/>
  <c r="T6" i="52"/>
  <c r="T20" i="52" s="1"/>
  <c r="C13" i="55" s="1"/>
  <c r="U7" i="58" s="1"/>
  <c r="R6" i="52"/>
  <c r="N6" i="52"/>
  <c r="N20" i="52" s="1"/>
  <c r="H6" i="52"/>
  <c r="I6" i="52" s="1"/>
  <c r="G6" i="52"/>
  <c r="F6" i="52"/>
  <c r="C14" i="55"/>
  <c r="H24" i="55" s="1"/>
  <c r="C12" i="55"/>
  <c r="B4" i="55"/>
  <c r="A4" i="55"/>
  <c r="U20" i="45"/>
  <c r="C14" i="54" s="1"/>
  <c r="S20" i="45"/>
  <c r="Q20" i="45"/>
  <c r="C12" i="54" s="1"/>
  <c r="S6" i="58" s="1"/>
  <c r="S20" i="58" s="1"/>
  <c r="H20" i="61" s="1"/>
  <c r="O20" i="45"/>
  <c r="M20" i="45"/>
  <c r="L20" i="45"/>
  <c r="C8" i="54" s="1"/>
  <c r="N6" i="58" s="1"/>
  <c r="N20" i="58" s="1"/>
  <c r="H14" i="61" s="1"/>
  <c r="T19" i="45"/>
  <c r="R19" i="45"/>
  <c r="I19" i="45"/>
  <c r="G19" i="45"/>
  <c r="E19" i="45"/>
  <c r="D19" i="45"/>
  <c r="T18" i="45"/>
  <c r="R18" i="45"/>
  <c r="I18" i="45"/>
  <c r="G18" i="45"/>
  <c r="E18" i="45"/>
  <c r="D18" i="45"/>
  <c r="T17" i="45"/>
  <c r="R17" i="45"/>
  <c r="I17" i="45"/>
  <c r="G17" i="45"/>
  <c r="E17" i="45"/>
  <c r="D17" i="45" s="1"/>
  <c r="T16" i="45"/>
  <c r="R16" i="45"/>
  <c r="I16" i="45"/>
  <c r="G16" i="45"/>
  <c r="E16" i="45"/>
  <c r="D16" i="45" s="1"/>
  <c r="T15" i="45"/>
  <c r="R15" i="45"/>
  <c r="I15" i="45"/>
  <c r="G15" i="45"/>
  <c r="E15" i="45"/>
  <c r="D15" i="45"/>
  <c r="T14" i="45"/>
  <c r="R14" i="45"/>
  <c r="I14" i="45"/>
  <c r="G14" i="45"/>
  <c r="E14" i="45"/>
  <c r="D14" i="45"/>
  <c r="T13" i="45"/>
  <c r="R13" i="45"/>
  <c r="I13" i="45"/>
  <c r="G13" i="45"/>
  <c r="E13" i="45"/>
  <c r="D13" i="45" s="1"/>
  <c r="T12" i="45"/>
  <c r="R12" i="45"/>
  <c r="N12" i="45"/>
  <c r="I12" i="45"/>
  <c r="F12" i="45"/>
  <c r="G12" i="45" s="1"/>
  <c r="E12" i="45" s="1"/>
  <c r="D12" i="45" s="1"/>
  <c r="T11" i="45"/>
  <c r="R11" i="45"/>
  <c r="N11" i="45"/>
  <c r="I11" i="45"/>
  <c r="G11" i="45"/>
  <c r="E11" i="45"/>
  <c r="D11" i="45" s="1"/>
  <c r="T10" i="45"/>
  <c r="R10" i="45"/>
  <c r="N10" i="45"/>
  <c r="I10" i="45"/>
  <c r="G10" i="45"/>
  <c r="E10" i="45" s="1"/>
  <c r="D10" i="45" s="1"/>
  <c r="T9" i="45"/>
  <c r="N9" i="45"/>
  <c r="I9" i="45"/>
  <c r="G9" i="45"/>
  <c r="E9" i="45" s="1"/>
  <c r="D9" i="45" s="1"/>
  <c r="T8" i="45"/>
  <c r="N8" i="45"/>
  <c r="I8" i="45"/>
  <c r="I20" i="45" s="1"/>
  <c r="C5" i="54" s="1"/>
  <c r="K6" i="58" s="1"/>
  <c r="G8" i="45"/>
  <c r="E8" i="45"/>
  <c r="D8" i="45" s="1"/>
  <c r="T7" i="45"/>
  <c r="N7" i="45"/>
  <c r="J7" i="45"/>
  <c r="J20" i="45" s="1"/>
  <c r="C6" i="54" s="1"/>
  <c r="L6" i="58" s="1"/>
  <c r="G7" i="45"/>
  <c r="E7" i="45" s="1"/>
  <c r="D7" i="45" s="1"/>
  <c r="F7" i="45"/>
  <c r="T6" i="45"/>
  <c r="T20" i="45" s="1"/>
  <c r="C13" i="54" s="1"/>
  <c r="U6" i="58" s="1"/>
  <c r="Q6" i="45"/>
  <c r="P6" i="45"/>
  <c r="P20" i="45" s="1"/>
  <c r="C11" i="54" s="1"/>
  <c r="R6" i="58" s="1"/>
  <c r="R20" i="58" s="1"/>
  <c r="H19" i="61" s="1"/>
  <c r="N6" i="45"/>
  <c r="N20" i="45" s="1"/>
  <c r="K6" i="45"/>
  <c r="K20" i="45" s="1"/>
  <c r="C7" i="54" s="1"/>
  <c r="M6" i="58" s="1"/>
  <c r="M20" i="58" s="1"/>
  <c r="H13" i="61" s="1"/>
  <c r="J6" i="45"/>
  <c r="I6" i="45"/>
  <c r="G6" i="45"/>
  <c r="F6" i="45"/>
  <c r="C10" i="54"/>
  <c r="C9" i="54"/>
  <c r="O6" i="58" s="1"/>
  <c r="B4" i="54"/>
  <c r="A4" i="54"/>
  <c r="L20" i="58" l="1"/>
  <c r="H12" i="61" s="1"/>
  <c r="D16" i="53"/>
  <c r="U20" i="58"/>
  <c r="H23" i="61" s="1"/>
  <c r="G24" i="55"/>
  <c r="Q7" i="58"/>
  <c r="P7" i="58" s="1"/>
  <c r="E8" i="52"/>
  <c r="D8" i="52" s="1"/>
  <c r="I20" i="52"/>
  <c r="C5" i="55" s="1"/>
  <c r="K7" i="58" s="1"/>
  <c r="K20" i="58" s="1"/>
  <c r="H11" i="61" s="1"/>
  <c r="D15" i="53"/>
  <c r="G20" i="52"/>
  <c r="C4" i="55" s="1"/>
  <c r="G20" i="45"/>
  <c r="C4" i="54" s="1"/>
  <c r="T8" i="58"/>
  <c r="R20" i="52"/>
  <c r="C25" i="56"/>
  <c r="J8" i="58"/>
  <c r="I8" i="58" s="1"/>
  <c r="F24" i="56"/>
  <c r="H24" i="56" s="1"/>
  <c r="H24" i="54"/>
  <c r="V6" i="58"/>
  <c r="V20" i="58" s="1"/>
  <c r="H24" i="61" s="1"/>
  <c r="T7" i="58"/>
  <c r="D11" i="52"/>
  <c r="D18" i="53"/>
  <c r="G24" i="54"/>
  <c r="O20" i="58"/>
  <c r="H15" i="61" s="1"/>
  <c r="E6" i="53"/>
  <c r="V7" i="58"/>
  <c r="Q6" i="58"/>
  <c r="E6" i="45"/>
  <c r="R6" i="53"/>
  <c r="R20" i="53" s="1"/>
  <c r="R6" i="45"/>
  <c r="R20" i="45" s="1"/>
  <c r="E6" i="52"/>
  <c r="J6" i="58" l="1"/>
  <c r="C25" i="54"/>
  <c r="F24" i="54"/>
  <c r="I24" i="54" s="1"/>
  <c r="F4" i="56"/>
  <c r="A28" i="56"/>
  <c r="C25" i="55"/>
  <c r="F24" i="55"/>
  <c r="I24" i="55" s="1"/>
  <c r="J7" i="58"/>
  <c r="I7" i="58" s="1"/>
  <c r="H7" i="58" s="1"/>
  <c r="G7" i="58" s="1"/>
  <c r="H8" i="58"/>
  <c r="G8" i="58" s="1"/>
  <c r="E20" i="52"/>
  <c r="D6" i="52"/>
  <c r="D20" i="52" s="1"/>
  <c r="E20" i="45"/>
  <c r="D6" i="45"/>
  <c r="T6" i="58"/>
  <c r="T20" i="58" s="1"/>
  <c r="H22" i="61" s="1"/>
  <c r="Q20" i="58"/>
  <c r="H18" i="61" s="1"/>
  <c r="P6" i="58"/>
  <c r="P20" i="58" s="1"/>
  <c r="H17" i="61" s="1"/>
  <c r="D6" i="53"/>
  <c r="D20" i="53" s="1"/>
  <c r="E20" i="53"/>
  <c r="D20" i="45" l="1"/>
  <c r="C6" i="45"/>
  <c r="F4" i="55"/>
  <c r="A28" i="55"/>
  <c r="F4" i="54"/>
  <c r="A28" i="54"/>
  <c r="I6" i="58"/>
  <c r="J20" i="58"/>
  <c r="H10" i="61" s="1"/>
  <c r="H6" i="58" l="1"/>
  <c r="I20" i="58"/>
  <c r="H9" i="61" s="1"/>
  <c r="H33" i="61" s="1"/>
  <c r="F6" i="58"/>
  <c r="F20" i="58" s="1"/>
  <c r="H6" i="61" s="1"/>
  <c r="H34" i="61" s="1"/>
  <c r="C20" i="45"/>
  <c r="G6" i="58" l="1"/>
  <c r="G20" i="58" s="1"/>
  <c r="H7" i="61" s="1"/>
  <c r="H20" i="58"/>
  <c r="H8" i="61" s="1"/>
</calcChain>
</file>

<file path=xl/sharedStrings.xml><?xml version="1.0" encoding="utf-8"?>
<sst xmlns="http://schemas.openxmlformats.org/spreadsheetml/2006/main" count="331" uniqueCount="157">
  <si>
    <t xml:space="preserve"> 单体建筑面积统计表</t>
  </si>
  <si>
    <t>栋号</t>
  </si>
  <si>
    <t>名  称</t>
  </si>
  <si>
    <t>建筑面积               （平方米）</t>
  </si>
  <si>
    <t>备注</t>
  </si>
  <si>
    <t>餐饮便利店</t>
  </si>
  <si>
    <t>社区文化活动中心</t>
  </si>
  <si>
    <t>社区医疗卫生中心</t>
  </si>
  <si>
    <t>消防控制室</t>
  </si>
  <si>
    <t>垃圾收集屋</t>
  </si>
  <si>
    <t>养老服务用房</t>
  </si>
  <si>
    <t>物业用房</t>
  </si>
  <si>
    <t>配电房</t>
  </si>
  <si>
    <t>架空层</t>
  </si>
  <si>
    <t>地下室出地面建筑</t>
  </si>
  <si>
    <t>合           计</t>
  </si>
  <si>
    <t>注：</t>
  </si>
  <si>
    <t>1、本次建筑面积按建筑外墙边线外扩线由委托方提供</t>
  </si>
  <si>
    <t>3、本栋建筑标准层高：3.15米</t>
  </si>
  <si>
    <t>4、本栋建筑高度：85.75米（起算点：□ ±0  ■ 室外地面(散水)  最高点：□ 顶层层面   ■ 屋面女儿墙顶  □ 其他）</t>
  </si>
  <si>
    <t xml:space="preserve">校核者：艾 虎          检查者：赵 科                      日期：2026年01月08日 </t>
  </si>
  <si>
    <t xml:space="preserve">       单栋面积统计表</t>
  </si>
  <si>
    <t>栋号：</t>
  </si>
  <si>
    <t>1#</t>
  </si>
  <si>
    <t>楼层</t>
  </si>
  <si>
    <t>层数</t>
  </si>
  <si>
    <t>建筑
基底
面积</t>
  </si>
  <si>
    <t>总   计</t>
  </si>
  <si>
    <t>计容面积(平方米)</t>
  </si>
  <si>
    <t>其他(住宅配套)免计容面积(平方米)</t>
  </si>
  <si>
    <t>不计容面积（平方米）</t>
  </si>
  <si>
    <t>小计</t>
  </si>
  <si>
    <t>住宅</t>
  </si>
  <si>
    <t>单层</t>
  </si>
  <si>
    <t>多层小计</t>
  </si>
  <si>
    <t>1</t>
  </si>
  <si>
    <t>2</t>
  </si>
  <si>
    <t>3</t>
  </si>
  <si>
    <t>4-13</t>
  </si>
  <si>
    <t>14</t>
  </si>
  <si>
    <t>15-27</t>
  </si>
  <si>
    <t>28</t>
  </si>
  <si>
    <t>合计</t>
  </si>
  <si>
    <t xml:space="preserve">校核者： 艾 虎              检查者：赵 科                                                                                              </t>
  </si>
  <si>
    <t xml:space="preserve">日期：2026年01月08日  </t>
  </si>
  <si>
    <t>4、本栋建筑高度：94.20米（起算点：□ ±0  ■ 室外地面(散水)  最高点：□ 顶层层面   ■ 屋面女儿墙顶  □ 其他）</t>
  </si>
  <si>
    <t xml:space="preserve">校核者：艾 虎          检查者：赵 科                      日期：2024年12月15日 </t>
  </si>
  <si>
    <t>2#</t>
  </si>
  <si>
    <t>4-28</t>
  </si>
  <si>
    <t>29</t>
  </si>
  <si>
    <t xml:space="preserve">日期：2025年12月15日  </t>
  </si>
  <si>
    <t>1、本次建筑面积按建筑外墙边线外扩0.025米进行计算</t>
  </si>
  <si>
    <t>3、本栋建筑标准层高：4.80米</t>
  </si>
  <si>
    <t>4、本栋建筑高度：10.55米（起算点：□ ±0  ■ 室内地面  最高点：■ 顶层层面   □ 屋面女儿墙顶  □ 其他）</t>
  </si>
  <si>
    <t>15-5#</t>
  </si>
  <si>
    <t>地下室及配套停车泊位统计表</t>
  </si>
  <si>
    <t>层次</t>
  </si>
  <si>
    <t>建筑面积（平方米）</t>
  </si>
  <si>
    <t>层高（米）</t>
  </si>
  <si>
    <t>机动车停车位形式</t>
  </si>
  <si>
    <t>实际车位数量（泊）</t>
  </si>
  <si>
    <t>换算系数</t>
  </si>
  <si>
    <t>换算值  （泊）</t>
  </si>
  <si>
    <t>换算后停车泊位总数（泊）</t>
  </si>
  <si>
    <t>地下一层</t>
  </si>
  <si>
    <t>无障碍停车位</t>
  </si>
  <si>
    <t>无障碍充电桩停车位</t>
  </si>
  <si>
    <t>非标准车位</t>
  </si>
  <si>
    <t>微型车位</t>
  </si>
  <si>
    <t>微型充电桩车位</t>
  </si>
  <si>
    <t>地下二层</t>
  </si>
  <si>
    <t xml:space="preserve">合  计 </t>
  </si>
  <si>
    <t>注：微型停车位，按比例折算后总数为1个，计入个数统计</t>
  </si>
  <si>
    <t>1、地下室按围护结构外围计算建筑面积</t>
  </si>
  <si>
    <t>2、本项目地下室车停出入口：2个，地下室建筑面积中含地下室出地面车行建筑面积。</t>
  </si>
  <si>
    <t xml:space="preserve">校核者：艾 虎                      检查者：赵科                     日期：2025年12月15日 </t>
  </si>
  <si>
    <t>栋号：地下室</t>
  </si>
  <si>
    <t>单位：米、平方米</t>
  </si>
  <si>
    <t>总    计</t>
  </si>
  <si>
    <t>计容面积</t>
  </si>
  <si>
    <t>不计容面积</t>
  </si>
  <si>
    <t>地下停车位</t>
  </si>
  <si>
    <t>垃圾房</t>
  </si>
  <si>
    <t>多层汇总</t>
  </si>
  <si>
    <t>停车库及设备用房</t>
  </si>
  <si>
    <t>地下室人行出入口</t>
  </si>
  <si>
    <t>小型车位</t>
  </si>
  <si>
    <t>小型充
电桩车位</t>
  </si>
  <si>
    <t>微型车位
(按0.7系数计算)</t>
  </si>
  <si>
    <t>微型充电桩车位
(按0.7系数计算)</t>
  </si>
  <si>
    <t xml:space="preserve">校核者：艾虎            检查者：赵科                                                                                                       </t>
  </si>
  <si>
    <t>建设项目建设方案主要技术经济指标对比表</t>
  </si>
  <si>
    <t xml:space="preserve"> 建 设 单 位(个 人)</t>
  </si>
  <si>
    <t>武汉纵盛置业开发有限责任公司</t>
  </si>
  <si>
    <t>建 设 项 目 名 称</t>
  </si>
  <si>
    <t>新建居住、防护绿地项目（A1地块）</t>
  </si>
  <si>
    <t>名           称</t>
  </si>
  <si>
    <t>条件值                 （S1）</t>
  </si>
  <si>
    <t>校核值
(S2)</t>
  </si>
  <si>
    <r>
      <rPr>
        <sz val="10.5"/>
        <color indexed="8"/>
        <rFont val="宋体"/>
        <family val="3"/>
        <charset val="134"/>
      </rPr>
      <t>规划用地面积(m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</si>
  <si>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sz val="10.5"/>
        <color indexed="8"/>
        <rFont val="宋体"/>
        <family val="3"/>
        <charset val="134"/>
      </rPr>
      <t>建筑总占地面积(m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</si>
  <si>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sz val="10.5"/>
        <color indexed="8"/>
        <rFont val="宋体"/>
        <family val="3"/>
        <charset val="134"/>
      </rPr>
      <t>总建筑面积(m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</si>
  <si>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t>其中</t>
  </si>
  <si>
    <r>
      <rPr>
        <sz val="10.5"/>
        <color indexed="8"/>
        <rFont val="宋体"/>
        <family val="3"/>
        <charset val="134"/>
      </rPr>
      <t>地上建筑面积(m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</si>
  <si>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sz val="10.5"/>
        <color indexed="8"/>
        <rFont val="宋体"/>
        <family val="3"/>
        <charset val="134"/>
      </rPr>
      <t>计容</t>
    </r>
    <r>
      <rPr>
        <sz val="10.5"/>
        <color indexed="8"/>
        <rFont val="宋体"/>
        <family val="3"/>
        <charset val="134"/>
      </rPr>
      <t>建筑面积</t>
    </r>
    <r>
      <rPr>
        <sz val="10.5"/>
        <color indexed="8"/>
        <rFont val="宋体"/>
        <family val="3"/>
        <charset val="134"/>
      </rPr>
      <t>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</si>
  <si>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t>≤30600</t>
  </si>
  <si>
    <r>
      <rPr>
        <sz val="10.5"/>
        <color indexed="8"/>
        <rFont val="宋体"/>
        <family val="3"/>
        <charset val="134"/>
      </rPr>
      <t>住宅建筑面积(m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</si>
  <si>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sz val="10.5"/>
        <color rgb="FF000000"/>
        <rFont val="宋体"/>
        <family val="3"/>
        <charset val="134"/>
      </rPr>
      <t>餐饮便利店建筑面积(m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</si>
  <si>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t>≥1800</t>
  </si>
  <si>
    <r>
      <rPr>
        <sz val="10.5"/>
        <color rgb="FF000000"/>
        <rFont val="宋体"/>
        <family val="3"/>
        <charset val="134"/>
      </rPr>
      <t>社区文化活动中心建筑面积(m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</si>
  <si>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t>≥1000</t>
  </si>
  <si>
    <r>
      <rPr>
        <sz val="10.5"/>
        <color rgb="FF000000"/>
        <rFont val="宋体"/>
        <family val="3"/>
        <charset val="134"/>
      </rPr>
      <t>社区医疗卫生中心建筑面积(m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</si>
  <si>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t>≥600</t>
  </si>
  <si>
    <r>
      <rPr>
        <sz val="10.5"/>
        <color rgb="FF000000"/>
        <rFont val="宋体"/>
        <family val="3"/>
        <charset val="134"/>
      </rPr>
      <t>消防控制室建筑面积(m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</si>
  <si>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r>
      <rPr>
        <sz val="10.5"/>
        <color rgb="FF000000"/>
        <rFont val="宋体"/>
        <family val="3"/>
        <charset val="134"/>
      </rPr>
      <t>垃圾收集屋建筑面积(m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</si>
  <si>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r>
      <rPr>
        <u/>
        <sz val="10.5"/>
        <color rgb="FF000000"/>
        <rFont val="宋体"/>
        <family val="3"/>
        <charset val="134"/>
      </rPr>
      <t>    </t>
    </r>
    <r>
      <rPr>
        <sz val="10.5"/>
        <color rgb="FF000000"/>
        <rFont val="宋体"/>
        <family val="3"/>
        <charset val="134"/>
      </rPr>
      <t>建筑面积(m2)</t>
    </r>
  </si>
  <si>
    <r>
      <rPr>
        <sz val="10.5"/>
        <color indexed="8"/>
        <rFont val="宋体"/>
        <family val="3"/>
        <charset val="134"/>
      </rPr>
      <t>免计容建筑面积(m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</si>
  <si>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sz val="10.5"/>
        <color rgb="FF000000"/>
        <rFont val="宋体"/>
        <family val="3"/>
        <charset val="134"/>
      </rPr>
      <t>养老服务用房建筑面积(m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</si>
  <si>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r>
      <rPr>
        <sz val="10.5"/>
        <color rgb="FF000000"/>
        <rFont val="宋体"/>
        <family val="3"/>
        <charset val="134"/>
      </rPr>
      <t>物业用房建筑面积(m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</si>
  <si>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r>
      <rPr>
        <sz val="10.5"/>
        <color rgb="FF000000"/>
        <rFont val="宋体"/>
        <family val="3"/>
        <charset val="134"/>
      </rPr>
      <t>配电房建筑面积(m</t>
    </r>
    <r>
      <rPr>
        <vertAlign val="superscript"/>
        <sz val="10.5"/>
        <color rgb="FF000000"/>
        <rFont val="宋体"/>
        <family val="3"/>
        <charset val="134"/>
      </rPr>
      <t>2</t>
    </r>
    <r>
      <rPr>
        <sz val="10.5"/>
        <color rgb="FF000000"/>
        <rFont val="宋体"/>
        <family val="3"/>
        <charset val="134"/>
      </rPr>
      <t>)</t>
    </r>
  </si>
  <si>
    <r>
      <rPr>
        <sz val="10.5"/>
        <color indexed="8"/>
        <rFont val="宋体"/>
        <family val="3"/>
        <charset val="134"/>
      </rPr>
      <t>不计容建筑面积(m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</si>
  <si>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sz val="10.5"/>
        <color indexed="8"/>
        <rFont val="宋体"/>
        <family val="3"/>
        <charset val="134"/>
      </rPr>
      <t>架空层建筑面积(m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</si>
  <si>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t>地下室出地面建筑(m2)</t>
  </si>
  <si>
    <r>
      <rPr>
        <sz val="10.5"/>
        <color indexed="8"/>
        <rFont val="宋体"/>
        <family val="3"/>
        <charset val="134"/>
      </rPr>
      <t>装配式外墙建筑面积(m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</si>
  <si>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sz val="10.5"/>
        <color indexed="8"/>
        <rFont val="宋体"/>
        <family val="3"/>
        <charset val="134"/>
      </rPr>
      <t>地下建筑面积(m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</si>
  <si>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t>计容建筑面积(m2)</t>
  </si>
  <si>
    <r>
      <rPr>
        <u/>
        <sz val="10.5"/>
        <color indexed="8"/>
        <rFont val="宋体"/>
        <family val="3"/>
        <charset val="134"/>
      </rPr>
      <t>    </t>
    </r>
    <r>
      <rPr>
        <sz val="10.5"/>
        <color indexed="8"/>
        <rFont val="宋体"/>
        <family val="3"/>
        <charset val="134"/>
      </rPr>
      <t>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</si>
  <si>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r>
      <rPr>
        <u/>
        <sz val="10.5"/>
        <color indexed="8"/>
        <rFont val="宋体"/>
        <family val="3"/>
        <charset val="134"/>
      </rPr>
      <t> </t>
    </r>
    <r>
      <rPr>
        <u/>
        <sz val="10.5"/>
        <color indexed="8"/>
        <rFont val="宋体"/>
        <family val="3"/>
        <charset val="134"/>
      </rPr>
      <t xml:space="preserve">  </t>
    </r>
    <r>
      <rPr>
        <u/>
        <sz val="10.5"/>
        <color indexed="8"/>
        <rFont val="宋体"/>
        <family val="3"/>
        <charset val="134"/>
      </rPr>
      <t> </t>
    </r>
    <r>
      <rPr>
        <sz val="10.5"/>
        <color indexed="8"/>
        <rFont val="宋体"/>
        <family val="3"/>
        <charset val="134"/>
      </rPr>
      <t>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</si>
  <si>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t>不计容建筑面积(m2)</t>
  </si>
  <si>
    <r>
      <rPr>
        <sz val="10.5"/>
        <color indexed="8"/>
        <rFont val="宋体"/>
        <family val="3"/>
        <charset val="134"/>
      </rPr>
      <t>车库及设备用房建筑面积(m</t>
    </r>
    <r>
      <rPr>
        <vertAlign val="superscript"/>
        <sz val="10.5"/>
        <color indexed="8"/>
        <rFont val="宋体"/>
        <family val="3"/>
        <charset val="134"/>
      </rPr>
      <t>2</t>
    </r>
    <r>
      <rPr>
        <sz val="10.5"/>
        <color indexed="8"/>
        <rFont val="宋体"/>
        <family val="3"/>
        <charset val="134"/>
      </rPr>
      <t>)</t>
    </r>
  </si>
  <si>
    <t>容积率</t>
  </si>
  <si>
    <t>建筑密度（%）</t>
  </si>
  <si>
    <t>停车位泊位</t>
  </si>
  <si>
    <t>地面（个）</t>
  </si>
  <si>
    <t>地面停车位</t>
  </si>
  <si>
    <t>地下（个）</t>
  </si>
  <si>
    <t xml:space="preserve">校核者：艾 虎            检查者：赵 科                        日期：2025年12月15日 </t>
  </si>
  <si>
    <t xml:space="preserve">          建设项目建设方案综合技术经济指标统计表</t>
  </si>
  <si>
    <t>建筑高度</t>
  </si>
  <si>
    <t>标准层层高</t>
  </si>
  <si>
    <t>总   计(S1+S2)</t>
  </si>
  <si>
    <t>地上建筑面积(S1)</t>
  </si>
  <si>
    <t>地下建筑面积（S2）</t>
  </si>
  <si>
    <t>备   注</t>
  </si>
  <si>
    <t>合  计(S3+S4+S5)</t>
  </si>
  <si>
    <t>计容建筑面积（S3）</t>
  </si>
  <si>
    <t>免计容建筑面积（S4）</t>
  </si>
  <si>
    <t>不计容建筑面积（S5）</t>
  </si>
  <si>
    <t>合   计</t>
  </si>
  <si>
    <t>不计容建筑面积</t>
  </si>
  <si>
    <t>小   计</t>
  </si>
  <si>
    <t>地下室</t>
  </si>
  <si>
    <t>地上</t>
  </si>
  <si>
    <t>地下</t>
  </si>
  <si>
    <t xml:space="preserve">注：
1、规划净用地面积：9388.58平方米
2、容积率（地上计容建筑面积/规划净用地面积）：3.02
3、建筑密度（建筑基底面积/规划用地面积）：29.94%
</t>
  </si>
  <si>
    <t xml:space="preserve">校核者：艾 虎        检查者：赵 科                                                                                                                                                                                    日期：2025年12月15日                                                                                           </t>
  </si>
  <si>
    <t>商业</t>
    <phoneticPr fontId="9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</si>
</sst>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 * #,##0_ ;_ * \-#,##0_ ;_ * &quot;-&quot;_ ;_ @_ "/>
    <numFmt numFmtId="43" formatCode="_ * #,##0.00_ ;_ * \-#,##0.00_ ;_ * &quot;-&quot;??_ ;_ @_ "/>
    <numFmt numFmtId="178" formatCode="&quot;綅&quot;\t#,##0_);[Red]\(&quot;綅&quot;\t#,##0\)"/>
    <numFmt numFmtId="179" formatCode="&quot;$&quot;#,##0.00_);[Red]\(&quot;$&quot;#,##0.00\)"/>
    <numFmt numFmtId="180" formatCode="_-&quot;$&quot;\ * #,##0_-;_-&quot;$&quot;\ * #,##0\-;_-&quot;$&quot;\ * &quot;-&quot;_-;_-@_-"/>
    <numFmt numFmtId="181" formatCode="&quot;$&quot;#,##0_);\(&quot;$&quot;#,##0\)"/>
    <numFmt numFmtId="182" formatCode="0.00_ "/>
    <numFmt numFmtId="183" formatCode="#,##0;\-#,##0;&quot;-&quot;"/>
    <numFmt numFmtId="184" formatCode="_-* #,##0&quot;$&quot;_-;\-* #,##0&quot;$&quot;_-;_-* &quot;-&quot;&quot;$&quot;_-;_-@_-"/>
    <numFmt numFmtId="185" formatCode="#,##0;[Red]\(#,##0\)"/>
    <numFmt numFmtId="186" formatCode="&quot;$&quot;\ #,##0_-;[Red]&quot;$&quot;\ #,##0\-"/>
    <numFmt numFmtId="187" formatCode="0.0"/>
    <numFmt numFmtId="188" formatCode="\$#,##0.00;\(\$#,##0.00\)"/>
    <numFmt numFmtId="189" formatCode="yy\.mm\.dd"/>
    <numFmt numFmtId="190" formatCode="yyyy\-m\-d"/>
    <numFmt numFmtId="191" formatCode="#,##0;\(#,##0\)"/>
    <numFmt numFmtId="192" formatCode="_-* #,##0\ _k_r_-;\-* #,##0\ _k_r_-;_-* &quot;-&quot;\ _k_r_-;_-@_-"/>
    <numFmt numFmtId="193" formatCode="_-* #,##0.00&quot;$&quot;_-;\-* #,##0.00&quot;$&quot;_-;_-* &quot;-&quot;??&quot;$&quot;_-;_-@_-"/>
    <numFmt numFmtId="194" formatCode="_-&quot;$&quot;* #,##0_-;\-&quot;$&quot;* #,##0_-;_-&quot;$&quot;* &quot;-&quot;_-;_-@_-"/>
    <numFmt numFmtId="195" formatCode="#,##0.0_);\(#,##0.0\)"/>
    <numFmt numFmtId="196" formatCode="_(&quot;$&quot;* #,##0.00_);_(&quot;$&quot;* \(#,##0.00\);_(&quot;$&quot;* &quot;-&quot;??_);_(@_)"/>
    <numFmt numFmtId="197" formatCode="_-* #,##0.00_$_-;\-* #,##0.00_$_-;_-* &quot;-&quot;??_$_-;_-@_-"/>
    <numFmt numFmtId="198" formatCode="_-* #,##0_$_-;\-* #,##0_$_-;_-* &quot;-&quot;_$_-;_-@_-"/>
    <numFmt numFmtId="199" formatCode="&quot;$&quot;\ #,##0.00_-;[Red]&quot;$&quot;\ #,##0.00\-"/>
    <numFmt numFmtId="200" formatCode="_ \¥* #,##0.00_ ;_ \¥* \-#,##0.00_ ;_ \¥* &quot;-&quot;??_ ;_ @_ "/>
    <numFmt numFmtId="201" formatCode="_-&quot;$&quot;\ * #,##0.00_-;_-&quot;$&quot;\ * #,##0.00\-;_-&quot;$&quot;\ * &quot;-&quot;??_-;_-@_-"/>
    <numFmt numFmtId="202" formatCode="\$#,##0;\(\$#,##0\)"/>
    <numFmt numFmtId="203" formatCode="&quot;?\t#,##0_);[Red]\(&quot;&quot;?&quot;\t#,##0\)"/>
    <numFmt numFmtId="204" formatCode="&quot;&quot;;0.00"/>
    <numFmt numFmtId="205" formatCode="&quot;$&quot;#,##0_);[Red]\(&quot;$&quot;#,##0\)"/>
    <numFmt numFmtId="206" formatCode="_-* #,##0.00\ _k_r_-;\-* #,##0.00\ _k_r_-;_-* &quot;-&quot;??\ _k_r_-;_-@_-"/>
    <numFmt numFmtId="207" formatCode="_(&quot;$&quot;* #,##0_);_(&quot;$&quot;* \(#,##0\);_(&quot;$&quot;* &quot;-&quot;_);_(@_)"/>
    <numFmt numFmtId="208" formatCode="_-&quot;$&quot;* #,##0.00_-;\-&quot;$&quot;* #,##0.00_-;_-&quot;$&quot;* &quot;-&quot;??_-;_-@_-"/>
    <numFmt numFmtId="209" formatCode="0.00_);[Red]\(0.00\)"/>
    <numFmt numFmtId="210" formatCode="0_);[Red]\(0\)"/>
  </numFmts>
  <fonts count="101"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8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8"/>
      <name val="宋体"/>
      <charset val="134"/>
    </font>
    <font>
      <b/>
      <sz val="12"/>
      <name val="宋体"/>
      <charset val="134"/>
    </font>
    <font>
      <sz val="18"/>
      <color indexed="8"/>
      <name val="黑体"/>
      <charset val="134"/>
    </font>
    <font>
      <b/>
      <sz val="12"/>
      <color indexed="8"/>
      <name val="黑体"/>
      <charset val="134"/>
    </font>
    <font>
      <sz val="12"/>
      <color indexed="8"/>
      <name val="宋体"/>
      <charset val="134"/>
    </font>
    <font>
      <b/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color rgb="FF000000"/>
      <name val="宋体"/>
      <charset val="134"/>
    </font>
    <font>
      <u/>
      <sz val="10.5"/>
      <color indexed="8"/>
      <name val="宋体"/>
      <charset val="134"/>
    </font>
    <font>
      <sz val="11"/>
      <name val="宋体"/>
      <charset val="134"/>
    </font>
    <font>
      <sz val="9"/>
      <color indexed="8"/>
      <name val="宋体"/>
      <charset val="134"/>
    </font>
    <font>
      <sz val="12"/>
      <color indexed="17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8"/>
      <name val="Times New Roman"/>
      <family val="1"/>
    </font>
    <font>
      <sz val="10"/>
      <name val="Arial"/>
      <family val="2"/>
    </font>
    <font>
      <sz val="12"/>
      <color indexed="9"/>
      <name val="宋体"/>
      <charset val="134"/>
    </font>
    <font>
      <sz val="11"/>
      <color indexed="9"/>
      <name val="宋体"/>
      <charset val="134"/>
    </font>
    <font>
      <sz val="12"/>
      <name val="Times New Roman"/>
      <family val="1"/>
    </font>
    <font>
      <sz val="12"/>
      <color indexed="20"/>
      <name val="楷体_GB2312"/>
      <charset val="134"/>
    </font>
    <font>
      <sz val="10.5"/>
      <color indexed="17"/>
      <name val="宋体"/>
      <charset val="134"/>
    </font>
    <font>
      <sz val="11"/>
      <color indexed="52"/>
      <name val="宋体"/>
      <charset val="134"/>
    </font>
    <font>
      <sz val="10"/>
      <name val="Geneva"/>
      <family val="1"/>
    </font>
    <font>
      <sz val="12"/>
      <color indexed="17"/>
      <name val="楷体_GB2312"/>
      <family val="3"/>
      <charset val="134"/>
    </font>
    <font>
      <sz val="11"/>
      <color indexed="62"/>
      <name val="宋体"/>
      <family val="3"/>
      <charset val="134"/>
    </font>
    <font>
      <sz val="12"/>
      <color indexed="8"/>
      <name val="楷体_GB2312"/>
      <family val="3"/>
      <charset val="134"/>
    </font>
    <font>
      <sz val="10"/>
      <color indexed="8"/>
      <name val="Arial"/>
      <family val="2"/>
    </font>
    <font>
      <sz val="10.5"/>
      <color indexed="20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Helv"/>
      <family val="2"/>
    </font>
    <font>
      <b/>
      <sz val="10"/>
      <name val="MS Sans Serif"/>
      <family val="1"/>
    </font>
    <font>
      <b/>
      <sz val="15"/>
      <color indexed="56"/>
      <name val="宋体"/>
      <family val="3"/>
      <charset val="134"/>
    </font>
    <font>
      <sz val="12"/>
      <color indexed="9"/>
      <name val="楷体_GB2312"/>
      <family val="3"/>
      <charset val="134"/>
    </font>
    <font>
      <sz val="10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1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2"/>
      <color indexed="10"/>
      <name val="楷体_GB2312"/>
      <family val="3"/>
      <charset val="134"/>
    </font>
    <font>
      <sz val="10"/>
      <color indexed="17"/>
      <name val="宋体"/>
      <family val="3"/>
      <charset val="134"/>
    </font>
    <font>
      <sz val="7"/>
      <name val="Helv"/>
      <family val="2"/>
    </font>
    <font>
      <b/>
      <sz val="12"/>
      <color indexed="8"/>
      <name val="宋体"/>
      <family val="3"/>
      <charset val="134"/>
    </font>
    <font>
      <sz val="10"/>
      <name val="楷体"/>
      <family val="3"/>
      <charset val="134"/>
    </font>
    <font>
      <u/>
      <sz val="7.5"/>
      <color indexed="12"/>
      <name val="Arial"/>
      <family val="2"/>
    </font>
    <font>
      <b/>
      <sz val="10"/>
      <name val="Tms Rmn"/>
      <family val="1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0"/>
      <name val="Times New Roman"/>
      <family val="1"/>
    </font>
    <font>
      <b/>
      <sz val="9"/>
      <name val="Arial"/>
      <family val="2"/>
    </font>
    <font>
      <sz val="10"/>
      <name val="MS Sans Serif"/>
      <family val="2"/>
    </font>
    <font>
      <i/>
      <sz val="11"/>
      <color indexed="23"/>
      <name val="宋体"/>
      <family val="3"/>
      <charset val="134"/>
    </font>
    <font>
      <sz val="12"/>
      <name val="Arial"/>
      <family val="2"/>
    </font>
    <font>
      <u/>
      <sz val="7.5"/>
      <color indexed="36"/>
      <name val="Arial"/>
      <family val="2"/>
    </font>
    <font>
      <sz val="8"/>
      <name val="Arial"/>
      <family val="2"/>
    </font>
    <font>
      <b/>
      <sz val="13"/>
      <color indexed="56"/>
      <name val="楷体_GB2312"/>
      <family val="3"/>
      <charset val="134"/>
    </font>
    <font>
      <b/>
      <sz val="12"/>
      <name val="Arial"/>
      <family val="2"/>
    </font>
    <font>
      <b/>
      <sz val="18"/>
      <name val="Arial"/>
      <family val="2"/>
    </font>
    <font>
      <sz val="12"/>
      <name val="Helv"/>
      <family val="2"/>
    </font>
    <font>
      <b/>
      <sz val="12"/>
      <color indexed="9"/>
      <name val="楷体_GB2312"/>
      <family val="3"/>
      <charset val="134"/>
    </font>
    <font>
      <sz val="12"/>
      <color indexed="9"/>
      <name val="Helv"/>
      <family val="2"/>
    </font>
    <font>
      <sz val="7"/>
      <name val="Small Fonts"/>
      <charset val="134"/>
    </font>
    <font>
      <sz val="10"/>
      <name val="Courier"/>
      <family val="3"/>
    </font>
    <font>
      <b/>
      <sz val="11"/>
      <color indexed="63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7"/>
      <color indexed="10"/>
      <name val="Helv"/>
      <family val="2"/>
    </font>
    <font>
      <sz val="10"/>
      <color indexed="8"/>
      <name val="MS Sans Serif"/>
      <family val="2"/>
    </font>
    <font>
      <sz val="12"/>
      <name val="바탕체"/>
      <charset val="134"/>
    </font>
    <font>
      <sz val="11"/>
      <color indexed="10"/>
      <name val="宋体"/>
      <family val="3"/>
      <charset val="134"/>
    </font>
    <font>
      <sz val="12"/>
      <name val="Courier"/>
      <family val="3"/>
    </font>
    <font>
      <b/>
      <sz val="15"/>
      <color indexed="56"/>
      <name val="楷体_GB2312"/>
      <family val="3"/>
      <charset val="134"/>
    </font>
    <font>
      <b/>
      <sz val="11"/>
      <color indexed="56"/>
      <name val="楷体_GB2312"/>
      <family val="3"/>
      <charset val="134"/>
    </font>
    <font>
      <b/>
      <sz val="14"/>
      <name val="楷体"/>
      <family val="3"/>
      <charset val="134"/>
    </font>
    <font>
      <b/>
      <sz val="18"/>
      <color indexed="62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2"/>
      <color indexed="8"/>
      <name val="楷体_GB2312"/>
      <family val="3"/>
      <charset val="134"/>
    </font>
    <font>
      <sz val="12"/>
      <color indexed="52"/>
      <name val="楷体_GB2312"/>
      <family val="3"/>
      <charset val="134"/>
    </font>
    <font>
      <sz val="12"/>
      <color indexed="62"/>
      <name val="楷体_GB2312"/>
      <family val="3"/>
      <charset val="134"/>
    </font>
    <font>
      <b/>
      <sz val="12"/>
      <color indexed="52"/>
      <name val="楷体_GB2312"/>
      <family val="3"/>
      <charset val="134"/>
    </font>
    <font>
      <sz val="12"/>
      <color indexed="60"/>
      <name val="楷体_GB2312"/>
      <family val="3"/>
      <charset val="134"/>
    </font>
    <font>
      <u/>
      <sz val="12"/>
      <color indexed="36"/>
      <name val="宋体"/>
      <family val="3"/>
      <charset val="134"/>
    </font>
    <font>
      <i/>
      <sz val="12"/>
      <color indexed="23"/>
      <name val="楷体_GB2312"/>
      <family val="3"/>
      <charset val="134"/>
    </font>
    <font>
      <sz val="12"/>
      <name val="官帕眉"/>
      <charset val="134"/>
    </font>
    <font>
      <b/>
      <sz val="12"/>
      <color indexed="63"/>
      <name val="楷体_GB2312"/>
      <family val="3"/>
      <charset val="134"/>
    </font>
    <font>
      <sz val="12"/>
      <name val="新細明體"/>
      <charset val="134"/>
    </font>
    <font>
      <vertAlign val="superscript"/>
      <sz val="10.5"/>
      <color indexed="8"/>
      <name val="宋体"/>
      <family val="3"/>
      <charset val="134"/>
    </font>
    <font>
      <vertAlign val="superscript"/>
      <sz val="10.5"/>
      <color rgb="FF000000"/>
      <name val="宋体"/>
      <family val="3"/>
      <charset val="134"/>
    </font>
    <font>
      <u/>
      <sz val="10.5"/>
      <color rgb="FF000000"/>
      <name val="宋体"/>
      <family val="3"/>
      <charset val="134"/>
    </font>
    <font>
      <sz val="10.5"/>
      <color indexed="8"/>
      <name val="宋体"/>
      <family val="3"/>
      <charset val="134"/>
    </font>
    <font>
      <sz val="10.5"/>
      <color rgb="FF000000"/>
      <name val="宋体"/>
      <family val="3"/>
      <charset val="134"/>
    </font>
    <font>
      <u/>
      <sz val="10.5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lightUp">
        <fgColor indexed="9"/>
        <bgColor indexed="29"/>
      </patternFill>
    </fill>
    <fill>
      <patternFill patternType="solid">
        <fgColor indexed="30"/>
        <bgColor indexed="64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64"/>
      </patternFill>
    </fill>
    <fill>
      <patternFill patternType="gray0625"/>
    </fill>
    <fill>
      <patternFill patternType="solid">
        <fgColor indexed="25"/>
        <bgColor indexed="64"/>
      </patternFill>
    </fill>
    <fill>
      <patternFill patternType="solid">
        <fgColor indexed="62"/>
        <bgColor indexed="64"/>
      </patternFill>
    </fill>
    <fill>
      <patternFill patternType="lightUp">
        <fgColor indexed="9"/>
        <b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11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0" borderId="0">
      <alignment horizontal="center" wrapText="1"/>
      <protection locked="0"/>
    </xf>
    <xf numFmtId="0" fontId="13" fillId="7" borderId="0" applyNumberFormat="0" applyBorder="0" applyAlignment="0" applyProtection="0"/>
    <xf numFmtId="0" fontId="3" fillId="0" borderId="0"/>
    <xf numFmtId="0" fontId="1" fillId="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189" fontId="24" fillId="0" borderId="28" applyFill="0" applyProtection="0">
      <alignment horizontal="right"/>
    </xf>
    <xf numFmtId="0" fontId="25" fillId="8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0" borderId="0"/>
    <xf numFmtId="0" fontId="3" fillId="0" borderId="0"/>
    <xf numFmtId="0" fontId="27" fillId="0" borderId="0"/>
    <xf numFmtId="0" fontId="28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0" fillId="0" borderId="42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0" borderId="0"/>
    <xf numFmtId="0" fontId="3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/>
    <xf numFmtId="4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1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3" fillId="13" borderId="43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0" borderId="0">
      <alignment vertical="top"/>
    </xf>
    <xf numFmtId="0" fontId="21" fillId="5" borderId="0" applyNumberFormat="0" applyBorder="0" applyAlignment="0" applyProtection="0">
      <alignment vertical="center"/>
    </xf>
    <xf numFmtId="194" fontId="1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7" fillId="0" borderId="0"/>
    <xf numFmtId="0" fontId="37" fillId="0" borderId="44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horizontal="left"/>
    </xf>
    <xf numFmtId="0" fontId="3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/>
    <xf numFmtId="0" fontId="35" fillId="0" borderId="0">
      <alignment vertical="top"/>
    </xf>
    <xf numFmtId="0" fontId="36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8" fillId="0" borderId="0"/>
    <xf numFmtId="0" fontId="21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6" fillId="12" borderId="0" applyNumberFormat="0" applyBorder="0" applyAlignment="0" applyProtection="0">
      <alignment vertical="center"/>
    </xf>
    <xf numFmtId="0" fontId="3" fillId="0" borderId="0">
      <protection locked="0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8" fillId="0" borderId="0"/>
    <xf numFmtId="0" fontId="13" fillId="14" borderId="0" applyNumberFormat="0" applyBorder="0" applyAlignment="0" applyProtection="0"/>
    <xf numFmtId="0" fontId="31" fillId="0" borderId="0"/>
    <xf numFmtId="0" fontId="40" fillId="0" borderId="45" applyNumberFormat="0" applyFill="0" applyAlignment="0" applyProtection="0">
      <alignment vertical="center"/>
    </xf>
    <xf numFmtId="49" fontId="1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38" fillId="0" borderId="0"/>
    <xf numFmtId="0" fontId="41" fillId="16" borderId="0" applyNumberFormat="0" applyBorder="0" applyAlignment="0" applyProtection="0">
      <alignment vertical="center"/>
    </xf>
    <xf numFmtId="0" fontId="27" fillId="0" borderId="0"/>
    <xf numFmtId="0" fontId="21" fillId="4" borderId="0" applyNumberFormat="0" applyBorder="0" applyAlignment="0" applyProtection="0">
      <alignment vertical="center"/>
    </xf>
    <xf numFmtId="0" fontId="31" fillId="0" borderId="0"/>
    <xf numFmtId="0" fontId="13" fillId="4" borderId="0" applyNumberFormat="0" applyBorder="0" applyAlignment="0" applyProtection="0"/>
    <xf numFmtId="0" fontId="42" fillId="12" borderId="0" applyNumberFormat="0" applyBorder="0" applyAlignment="0" applyProtection="0">
      <alignment vertical="center"/>
    </xf>
    <xf numFmtId="0" fontId="35" fillId="0" borderId="0">
      <alignment vertical="top"/>
    </xf>
    <xf numFmtId="0" fontId="43" fillId="17" borderId="0" applyNumberFormat="0" applyBorder="0" applyAlignment="0" applyProtection="0">
      <alignment vertical="center"/>
    </xf>
    <xf numFmtId="0" fontId="38" fillId="0" borderId="0"/>
    <xf numFmtId="41" fontId="1" fillId="0" borderId="0" applyFont="0" applyFill="0" applyBorder="0" applyAlignment="0" applyProtection="0"/>
    <xf numFmtId="0" fontId="38" fillId="0" borderId="0"/>
    <xf numFmtId="0" fontId="35" fillId="0" borderId="0">
      <alignment vertical="top"/>
    </xf>
    <xf numFmtId="0" fontId="26" fillId="18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/>
    <xf numFmtId="0" fontId="35" fillId="0" borderId="0">
      <alignment vertical="top"/>
    </xf>
    <xf numFmtId="0" fontId="21" fillId="4" borderId="0" applyNumberFormat="0" applyBorder="0" applyAlignment="0" applyProtection="0">
      <alignment vertical="center"/>
    </xf>
    <xf numFmtId="0" fontId="35" fillId="0" borderId="0">
      <alignment vertical="top"/>
    </xf>
    <xf numFmtId="0" fontId="36" fillId="1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4" fillId="0" borderId="0"/>
    <xf numFmtId="0" fontId="44" fillId="6" borderId="0" applyNumberFormat="0" applyBorder="0" applyAlignment="0" applyProtection="0"/>
    <xf numFmtId="0" fontId="21" fillId="5" borderId="0" applyNumberFormat="0" applyBorder="0" applyAlignment="0" applyProtection="0">
      <alignment vertical="center"/>
    </xf>
    <xf numFmtId="0" fontId="24" fillId="0" borderId="0"/>
    <xf numFmtId="0" fontId="22" fillId="12" borderId="0" applyNumberFormat="0" applyBorder="0" applyAlignment="0" applyProtection="0">
      <alignment vertical="center"/>
    </xf>
    <xf numFmtId="0" fontId="27" fillId="0" borderId="0"/>
    <xf numFmtId="0" fontId="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5" fillId="0" borderId="46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180" fontId="1" fillId="0" borderId="0" applyFont="0" applyFill="0" applyBorder="0" applyAlignment="0" applyProtection="0"/>
    <xf numFmtId="0" fontId="1" fillId="12" borderId="0" applyNumberFormat="0" applyBorder="0" applyAlignment="0" applyProtection="0">
      <alignment vertical="center"/>
    </xf>
    <xf numFmtId="186" fontId="24" fillId="0" borderId="0"/>
    <xf numFmtId="0" fontId="1" fillId="12" borderId="0" applyNumberFormat="0" applyBorder="0" applyAlignment="0" applyProtection="0">
      <alignment vertical="center"/>
    </xf>
    <xf numFmtId="40" fontId="1" fillId="0" borderId="0" applyFont="0" applyFill="0" applyBorder="0" applyAlignment="0" applyProtection="0"/>
    <xf numFmtId="0" fontId="40" fillId="0" borderId="45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185" fontId="24" fillId="0" borderId="0"/>
    <xf numFmtId="0" fontId="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3" fontId="48" fillId="0" borderId="0"/>
    <xf numFmtId="0" fontId="4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9" fillId="20" borderId="0" applyNumberFormat="0" applyBorder="0" applyAlignment="0" applyProtection="0"/>
    <xf numFmtId="0" fontId="26" fillId="21" borderId="0" applyNumberFormat="0" applyBorder="0" applyAlignment="0" applyProtection="0">
      <alignment vertical="center"/>
    </xf>
    <xf numFmtId="0" fontId="50" fillId="0" borderId="28" applyNumberFormat="0" applyFill="0" applyProtection="0">
      <alignment horizontal="center"/>
    </xf>
    <xf numFmtId="0" fontId="3" fillId="0" borderId="0"/>
    <xf numFmtId="0" fontId="49" fillId="22" borderId="0" applyNumberFormat="0" applyBorder="0" applyAlignment="0" applyProtection="0"/>
    <xf numFmtId="0" fontId="26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/>
    <xf numFmtId="0" fontId="13" fillId="0" borderId="0">
      <alignment vertical="center"/>
    </xf>
    <xf numFmtId="0" fontId="3" fillId="0" borderId="0">
      <alignment vertical="center"/>
    </xf>
    <xf numFmtId="0" fontId="26" fillId="15" borderId="0" applyNumberFormat="0" applyBorder="0" applyAlignment="0" applyProtection="0">
      <alignment vertical="center"/>
    </xf>
    <xf numFmtId="3" fontId="1" fillId="0" borderId="0" applyFont="0" applyFill="0" applyBorder="0" applyAlignment="0" applyProtection="0"/>
    <xf numFmtId="0" fontId="3" fillId="0" borderId="0"/>
    <xf numFmtId="0" fontId="26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190" fontId="23" fillId="0" borderId="0">
      <alignment horizontal="center" wrapText="1"/>
      <protection locked="0"/>
    </xf>
    <xf numFmtId="0" fontId="22" fillId="6" borderId="0" applyNumberFormat="0" applyBorder="0" applyAlignment="0" applyProtection="0">
      <alignment vertical="center"/>
    </xf>
    <xf numFmtId="0" fontId="3" fillId="0" borderId="0"/>
    <xf numFmtId="0" fontId="41" fillId="1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0" borderId="0"/>
    <xf numFmtId="0" fontId="26" fillId="1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52" fillId="24" borderId="47">
      <protection locked="0"/>
    </xf>
    <xf numFmtId="38" fontId="1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4" fillId="0" borderId="48" applyNumberFormat="0" applyFill="0" applyProtection="0">
      <alignment horizontal="left"/>
    </xf>
    <xf numFmtId="0" fontId="37" fillId="0" borderId="0" applyNumberForma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3" fillId="0" borderId="0"/>
    <xf numFmtId="0" fontId="26" fillId="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25" fillId="23" borderId="0" applyNumberFormat="0" applyBorder="0" applyAlignment="0" applyProtection="0"/>
    <xf numFmtId="0" fontId="3" fillId="0" borderId="0">
      <alignment vertical="center"/>
    </xf>
    <xf numFmtId="0" fontId="26" fillId="18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8" fillId="0" borderId="0">
      <protection locked="0"/>
    </xf>
    <xf numFmtId="0" fontId="25" fillId="11" borderId="0" applyNumberFormat="0" applyBorder="0" applyAlignment="0" applyProtection="0"/>
    <xf numFmtId="0" fontId="13" fillId="19" borderId="0" applyNumberFormat="0" applyBorder="0" applyAlignment="0" applyProtection="0"/>
    <xf numFmtId="0" fontId="36" fillId="1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5" fillId="10" borderId="0" applyNumberFormat="0" applyBorder="0" applyAlignment="0" applyProtection="0"/>
    <xf numFmtId="0" fontId="21" fillId="5" borderId="0" applyNumberFormat="0" applyBorder="0" applyAlignment="0" applyProtection="0">
      <alignment vertical="center"/>
    </xf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8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/>
    <xf numFmtId="0" fontId="13" fillId="5" borderId="0" applyNumberFormat="0" applyBorder="0" applyAlignment="0" applyProtection="0"/>
    <xf numFmtId="0" fontId="21" fillId="4" borderId="0" applyNumberFormat="0" applyBorder="0" applyAlignment="0" applyProtection="0">
      <alignment vertical="center"/>
    </xf>
    <xf numFmtId="199" fontId="1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181" fontId="39" fillId="0" borderId="38" applyAlignment="0" applyProtection="0"/>
    <xf numFmtId="0" fontId="25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7" borderId="0" applyNumberFormat="0" applyBorder="0" applyAlignment="0" applyProtection="0"/>
    <xf numFmtId="0" fontId="25" fillId="7" borderId="0" applyNumberFormat="0" applyBorder="0" applyAlignment="0" applyProtection="0"/>
    <xf numFmtId="196" fontId="1" fillId="0" borderId="0" applyFont="0" applyFill="0" applyBorder="0" applyAlignment="0" applyProtection="0"/>
    <xf numFmtId="0" fontId="21" fillId="5" borderId="0" applyNumberFormat="0" applyBorder="0" applyAlignment="0" applyProtection="0">
      <alignment vertical="center"/>
    </xf>
    <xf numFmtId="0" fontId="25" fillId="16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3" fillId="19" borderId="0" applyNumberFormat="0" applyBorder="0" applyAlignment="0" applyProtection="0"/>
    <xf numFmtId="0" fontId="25" fillId="10" borderId="0" applyNumberFormat="0" applyBorder="0" applyAlignment="0" applyProtection="0"/>
    <xf numFmtId="0" fontId="21" fillId="5" borderId="0" applyNumberFormat="0" applyBorder="0" applyAlignment="0" applyProtection="0">
      <alignment vertical="center"/>
    </xf>
    <xf numFmtId="0" fontId="25" fillId="16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25" fillId="23" borderId="0" applyNumberFormat="0" applyBorder="0" applyAlignment="0" applyProtection="0"/>
    <xf numFmtId="0" fontId="13" fillId="13" borderId="0" applyNumberFormat="0" applyBorder="0" applyAlignment="0" applyProtection="0"/>
    <xf numFmtId="0" fontId="21" fillId="4" borderId="0" applyNumberFormat="0" applyBorder="0" applyAlignment="0" applyProtection="0">
      <alignment vertical="center"/>
    </xf>
    <xf numFmtId="0" fontId="25" fillId="13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33" fillId="13" borderId="43" applyNumberFormat="0" applyAlignment="0" applyProtection="0">
      <alignment vertical="center"/>
    </xf>
    <xf numFmtId="183" fontId="35" fillId="0" borderId="0" applyFill="0" applyBorder="0" applyAlignment="0"/>
    <xf numFmtId="0" fontId="39" fillId="0" borderId="49">
      <alignment horizontal="center"/>
    </xf>
    <xf numFmtId="0" fontId="44" fillId="6" borderId="0" applyNumberFormat="0" applyBorder="0" applyAlignment="0" applyProtection="0"/>
    <xf numFmtId="0" fontId="53" fillId="7" borderId="43" applyNumberFormat="0" applyAlignment="0" applyProtection="0">
      <alignment vertical="center"/>
    </xf>
    <xf numFmtId="0" fontId="54" fillId="8" borderId="50" applyNumberForma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2" fillId="5" borderId="0" applyNumberFormat="0" applyBorder="0" applyAlignment="0" applyProtection="0">
      <alignment vertical="center"/>
    </xf>
    <xf numFmtId="191" fontId="55" fillId="0" borderId="0"/>
    <xf numFmtId="0" fontId="22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1" fillId="5" borderId="0" applyNumberFormat="0" applyBorder="0" applyAlignment="0" applyProtection="0">
      <alignment vertical="center"/>
    </xf>
    <xf numFmtId="0" fontId="27" fillId="0" borderId="0"/>
    <xf numFmtId="0" fontId="20" fillId="4" borderId="0" applyNumberFormat="0" applyBorder="0" applyAlignment="0" applyProtection="0">
      <alignment vertical="center"/>
    </xf>
    <xf numFmtId="201" fontId="1" fillId="0" borderId="0" applyFont="0" applyFill="0" applyBorder="0" applyAlignment="0" applyProtection="0"/>
    <xf numFmtId="0" fontId="56" fillId="0" borderId="0" applyNumberFormat="0" applyFill="0" applyBorder="0" applyAlignment="0" applyProtection="0"/>
    <xf numFmtId="188" fontId="55" fillId="0" borderId="0"/>
    <xf numFmtId="200" fontId="1" fillId="0" borderId="0" applyFont="0" applyFill="0" applyBorder="0" applyAlignment="0" applyProtection="0"/>
    <xf numFmtId="0" fontId="3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5" fontId="57" fillId="0" borderId="0"/>
    <xf numFmtId="43" fontId="1" fillId="0" borderId="0" applyFont="0" applyFill="0" applyBorder="0" applyAlignment="0" applyProtection="0"/>
    <xf numFmtId="0" fontId="22" fillId="12" borderId="0" applyNumberFormat="0" applyBorder="0" applyAlignment="0" applyProtection="0">
      <alignment vertical="center"/>
    </xf>
    <xf numFmtId="202" fontId="55" fillId="0" borderId="0"/>
    <xf numFmtId="0" fontId="22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2" fontId="59" fillId="0" borderId="0" applyProtection="0"/>
    <xf numFmtId="0" fontId="49" fillId="27" borderId="0" applyNumberFormat="0" applyBorder="0" applyAlignment="0" applyProtection="0"/>
    <xf numFmtId="0" fontId="21" fillId="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1" fillId="7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62" fillId="0" borderId="46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3" fillId="0" borderId="51" applyNumberFormat="0" applyAlignment="0" applyProtection="0">
      <alignment horizontal="left" vertical="center"/>
    </xf>
    <xf numFmtId="0" fontId="63" fillId="0" borderId="52">
      <alignment horizontal="left" vertical="center"/>
    </xf>
    <xf numFmtId="0" fontId="22" fillId="6" borderId="0" applyNumberFormat="0" applyBorder="0" applyAlignment="0" applyProtection="0">
      <alignment vertical="center"/>
    </xf>
    <xf numFmtId="0" fontId="64" fillId="0" borderId="0" applyProtection="0"/>
    <xf numFmtId="0" fontId="63" fillId="0" borderId="0" applyProtection="0"/>
    <xf numFmtId="0" fontId="22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61" fillId="14" borderId="53" applyNumberFormat="0" applyBorder="0" applyAlignment="0" applyProtection="0"/>
    <xf numFmtId="0" fontId="1" fillId="0" borderId="0">
      <alignment vertical="center"/>
    </xf>
    <xf numFmtId="195" fontId="65" fillId="28" borderId="0"/>
    <xf numFmtId="0" fontId="66" fillId="8" borderId="50" applyNumberFormat="0" applyAlignment="0" applyProtection="0">
      <alignment vertical="center"/>
    </xf>
    <xf numFmtId="0" fontId="30" fillId="0" borderId="42" applyNumberFormat="0" applyFill="0" applyAlignment="0" applyProtection="0">
      <alignment vertical="center"/>
    </xf>
    <xf numFmtId="9" fontId="1" fillId="0" borderId="0" applyFont="0" applyFill="0" applyBorder="0" applyAlignment="0" applyProtection="0"/>
    <xf numFmtId="195" fontId="67" fillId="29" borderId="0"/>
    <xf numFmtId="38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180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1" fillId="0" borderId="0" applyFont="0" applyFill="0" applyBorder="0" applyAlignment="0" applyProtection="0"/>
    <xf numFmtId="0" fontId="55" fillId="0" borderId="0"/>
    <xf numFmtId="37" fontId="68" fillId="0" borderId="0"/>
    <xf numFmtId="0" fontId="69" fillId="0" borderId="0"/>
    <xf numFmtId="0" fontId="65" fillId="0" borderId="0"/>
    <xf numFmtId="0" fontId="32" fillId="5" borderId="0" applyNumberFormat="0" applyBorder="0" applyAlignment="0" applyProtection="0">
      <alignment vertical="center"/>
    </xf>
    <xf numFmtId="0" fontId="38" fillId="0" borderId="0"/>
    <xf numFmtId="0" fontId="1" fillId="14" borderId="54" applyNumberFormat="0" applyFont="0" applyAlignment="0" applyProtection="0">
      <alignment vertical="center"/>
    </xf>
    <xf numFmtId="0" fontId="70" fillId="7" borderId="55" applyNumberFormat="0" applyAlignment="0" applyProtection="0">
      <alignment vertical="center"/>
    </xf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5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13" fontId="1" fillId="0" borderId="0" applyFont="0" applyFill="0" applyProtection="0"/>
    <xf numFmtId="0" fontId="1" fillId="19" borderId="0" applyNumberFormat="0" applyBorder="0" applyAlignment="0" applyProtection="0">
      <alignment vertical="center"/>
    </xf>
    <xf numFmtId="15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0" fontId="72" fillId="1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" fillId="30" borderId="0" applyNumberFormat="0" applyFont="0" applyBorder="0" applyAlignment="0" applyProtection="0"/>
    <xf numFmtId="3" fontId="73" fillId="0" borderId="0"/>
    <xf numFmtId="0" fontId="39" fillId="0" borderId="0" applyNumberFormat="0" applyFill="0" applyBorder="0" applyAlignment="0" applyProtection="0"/>
    <xf numFmtId="0" fontId="28" fillId="6" borderId="0" applyNumberFormat="0" applyBorder="0" applyAlignment="0" applyProtection="0">
      <alignment vertical="center"/>
    </xf>
    <xf numFmtId="0" fontId="52" fillId="24" borderId="47">
      <protection locked="0"/>
    </xf>
    <xf numFmtId="0" fontId="74" fillId="0" borderId="0"/>
    <xf numFmtId="0" fontId="52" fillId="24" borderId="47">
      <protection locked="0"/>
    </xf>
    <xf numFmtId="0" fontId="3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9" fillId="0" borderId="56" applyProtection="0"/>
    <xf numFmtId="0" fontId="28" fillId="6" borderId="0" applyNumberFormat="0" applyBorder="0" applyAlignment="0" applyProtection="0">
      <alignment vertical="center"/>
    </xf>
    <xf numFmtId="192" fontId="1" fillId="0" borderId="0" applyFont="0" applyFill="0" applyBorder="0" applyAlignment="0" applyProtection="0"/>
    <xf numFmtId="0" fontId="44" fillId="6" borderId="0" applyNumberFormat="0" applyBorder="0" applyAlignment="0" applyProtection="0"/>
    <xf numFmtId="0" fontId="75" fillId="0" borderId="0"/>
    <xf numFmtId="206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47" fillId="4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207" fontId="1" fillId="0" borderId="0" applyFont="0" applyFill="0" applyBorder="0" applyAlignment="0" applyProtection="0"/>
    <xf numFmtId="0" fontId="77" fillId="0" borderId="0"/>
    <xf numFmtId="0" fontId="24" fillId="0" borderId="48" applyNumberFormat="0" applyFill="0" applyProtection="0">
      <alignment horizontal="right"/>
    </xf>
    <xf numFmtId="0" fontId="78" fillId="0" borderId="45" applyNumberFormat="0" applyFill="0" applyAlignment="0" applyProtection="0">
      <alignment vertical="center"/>
    </xf>
    <xf numFmtId="0" fontId="79" fillId="0" borderId="44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48" applyNumberFormat="0" applyFill="0" applyProtection="0">
      <alignment horizontal="center"/>
    </xf>
    <xf numFmtId="0" fontId="20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200" fontId="1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/>
    <xf numFmtId="0" fontId="36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3" fillId="0" borderId="57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" fillId="0" borderId="0"/>
    <xf numFmtId="0" fontId="22" fillId="12" borderId="0" applyNumberFormat="0" applyBorder="0" applyAlignment="0" applyProtection="0">
      <alignment vertical="center"/>
    </xf>
    <xf numFmtId="0" fontId="44" fillId="6" borderId="0" applyNumberFormat="0" applyBorder="0" applyAlignment="0" applyProtection="0"/>
    <xf numFmtId="0" fontId="3" fillId="0" borderId="0" applyNumberFormat="0" applyFill="0" applyBorder="0" applyAlignment="0" applyProtection="0"/>
    <xf numFmtId="0" fontId="21" fillId="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194" fontId="1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84" fillId="0" borderId="4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85" fillId="13" borderId="43" applyNumberFormat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3" fillId="0" borderId="0"/>
    <xf numFmtId="0" fontId="32" fillId="5" borderId="0" applyNumberFormat="0" applyBorder="0" applyAlignment="0" applyProtection="0">
      <alignment vertical="center"/>
    </xf>
    <xf numFmtId="0" fontId="3" fillId="0" borderId="0"/>
    <xf numFmtId="0" fontId="1" fillId="14" borderId="54" applyNumberFormat="0" applyFon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55" fillId="0" borderId="0"/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197" fontId="1" fillId="0" borderId="0" applyFont="0" applyFill="0" applyBorder="0" applyAlignment="0" applyProtection="0"/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/>
    <xf numFmtId="0" fontId="29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/>
    <xf numFmtId="0" fontId="21" fillId="5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86" fillId="7" borderId="43" applyNumberFormat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70" fillId="7" borderId="55" applyNumberFormat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208" fontId="1" fillId="0" borderId="0" applyFont="0" applyFill="0" applyBorder="0" applyAlignment="0" applyProtection="0"/>
    <xf numFmtId="0" fontId="53" fillId="7" borderId="43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50" fillId="0" borderId="28" applyNumberFormat="0" applyFill="0" applyProtection="0">
      <alignment horizontal="left"/>
    </xf>
    <xf numFmtId="19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90" fillId="0" borderId="0"/>
    <xf numFmtId="0" fontId="1" fillId="1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91" fillId="7" borderId="55" applyNumberFormat="0" applyAlignment="0" applyProtection="0">
      <alignment vertical="center"/>
    </xf>
    <xf numFmtId="1" fontId="24" fillId="0" borderId="28" applyFill="0" applyProtection="0">
      <alignment horizontal="center"/>
    </xf>
    <xf numFmtId="1" fontId="18" fillId="0" borderId="53">
      <alignment vertical="center"/>
      <protection locked="0"/>
    </xf>
    <xf numFmtId="0" fontId="2" fillId="0" borderId="57" applyNumberFormat="0" applyFill="0" applyAlignment="0" applyProtection="0">
      <alignment vertical="center"/>
    </xf>
    <xf numFmtId="0" fontId="3" fillId="0" borderId="0">
      <alignment vertical="center"/>
    </xf>
    <xf numFmtId="187" fontId="18" fillId="0" borderId="53">
      <alignment vertical="center"/>
      <protection locked="0"/>
    </xf>
    <xf numFmtId="0" fontId="54" fillId="8" borderId="50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2" fillId="0" borderId="0"/>
    <xf numFmtId="0" fontId="57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14" borderId="54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" fillId="0" borderId="0" applyFont="0" applyFill="0" applyBorder="0" applyAlignment="0" applyProtection="0"/>
  </cellStyleXfs>
  <cellXfs count="194">
    <xf numFmtId="0" fontId="0" fillId="0" borderId="0" xfId="0">
      <alignment vertical="center"/>
    </xf>
    <xf numFmtId="0" fontId="1" fillId="0" borderId="0" xfId="548">
      <alignment vertical="center"/>
    </xf>
    <xf numFmtId="0" fontId="2" fillId="0" borderId="0" xfId="548" applyFont="1">
      <alignment vertical="center"/>
    </xf>
    <xf numFmtId="0" fontId="3" fillId="0" borderId="0" xfId="185" applyAlignment="1">
      <alignment horizontal="center" vertical="center"/>
    </xf>
    <xf numFmtId="209" fontId="3" fillId="0" borderId="0" xfId="185" applyNumberFormat="1" applyAlignment="1">
      <alignment horizontal="center" vertical="center"/>
    </xf>
    <xf numFmtId="0" fontId="4" fillId="0" borderId="0" xfId="548" applyFont="1" applyAlignment="1">
      <alignment horizontal="center" vertical="center"/>
    </xf>
    <xf numFmtId="0" fontId="6" fillId="0" borderId="5" xfId="548" applyFont="1" applyBorder="1" applyAlignment="1">
      <alignment horizontal="center" vertical="center" wrapText="1"/>
    </xf>
    <xf numFmtId="0" fontId="7" fillId="0" borderId="4" xfId="548" applyFont="1" applyBorder="1" applyAlignment="1">
      <alignment horizontal="center" vertical="center"/>
    </xf>
    <xf numFmtId="0" fontId="8" fillId="0" borderId="5" xfId="548" applyFont="1" applyBorder="1" applyAlignment="1">
      <alignment horizontal="center" vertical="center"/>
    </xf>
    <xf numFmtId="49" fontId="8" fillId="0" borderId="5" xfId="548" applyNumberFormat="1" applyFont="1" applyBorder="1" applyAlignment="1">
      <alignment horizontal="center" vertical="center"/>
    </xf>
    <xf numFmtId="182" fontId="8" fillId="0" borderId="5" xfId="548" applyNumberFormat="1" applyFont="1" applyBorder="1" applyAlignment="1">
      <alignment horizontal="center" vertical="center"/>
    </xf>
    <xf numFmtId="182" fontId="7" fillId="0" borderId="5" xfId="548" applyNumberFormat="1" applyFont="1" applyBorder="1" applyAlignment="1">
      <alignment horizontal="center" vertical="center"/>
    </xf>
    <xf numFmtId="0" fontId="7" fillId="0" borderId="5" xfId="548" applyFont="1" applyBorder="1" applyAlignment="1">
      <alignment horizontal="center" vertical="center"/>
    </xf>
    <xf numFmtId="2" fontId="7" fillId="0" borderId="5" xfId="548" applyNumberFormat="1" applyFont="1" applyBorder="1" applyAlignment="1">
      <alignment horizontal="center" vertical="center"/>
    </xf>
    <xf numFmtId="0" fontId="7" fillId="0" borderId="4" xfId="548" applyFont="1" applyBorder="1" applyAlignment="1">
      <alignment horizontal="center" vertical="center" wrapText="1"/>
    </xf>
    <xf numFmtId="0" fontId="1" fillId="0" borderId="0" xfId="548" applyAlignment="1">
      <alignment vertical="center" wrapText="1"/>
    </xf>
    <xf numFmtId="0" fontId="6" fillId="0" borderId="10" xfId="548" applyFont="1" applyBorder="1" applyAlignment="1">
      <alignment horizontal="center" vertical="center" wrapText="1"/>
    </xf>
    <xf numFmtId="0" fontId="9" fillId="0" borderId="0" xfId="548" applyFont="1">
      <alignment vertical="center"/>
    </xf>
    <xf numFmtId="0" fontId="6" fillId="0" borderId="15" xfId="548" applyFont="1" applyBorder="1" applyAlignment="1">
      <alignment horizontal="center" vertical="center" wrapText="1"/>
    </xf>
    <xf numFmtId="182" fontId="7" fillId="0" borderId="5" xfId="548" applyNumberFormat="1" applyFont="1" applyBorder="1" applyAlignment="1">
      <alignment horizontal="center" vertical="center" wrapText="1"/>
    </xf>
    <xf numFmtId="182" fontId="8" fillId="0" borderId="5" xfId="548" applyNumberFormat="1" applyFont="1" applyBorder="1" applyAlignment="1">
      <alignment horizontal="center" vertical="center" wrapText="1"/>
    </xf>
    <xf numFmtId="0" fontId="10" fillId="0" borderId="0" xfId="185" applyFont="1" applyAlignment="1">
      <alignment horizontal="center" vertical="center"/>
    </xf>
    <xf numFmtId="0" fontId="3" fillId="0" borderId="17" xfId="185" applyBorder="1" applyAlignment="1">
      <alignment horizontal="center" vertical="center"/>
    </xf>
    <xf numFmtId="0" fontId="0" fillId="0" borderId="5" xfId="548" applyFont="1" applyBorder="1" applyAlignment="1">
      <alignment horizontal="center" vertical="center"/>
    </xf>
    <xf numFmtId="0" fontId="14" fillId="0" borderId="5" xfId="548" applyFont="1" applyBorder="1" applyAlignment="1">
      <alignment horizontal="center" vertical="center" wrapText="1"/>
    </xf>
    <xf numFmtId="0" fontId="15" fillId="0" borderId="4" xfId="548" applyFont="1" applyBorder="1" applyAlignment="1">
      <alignment horizontal="center" vertical="center" wrapText="1"/>
    </xf>
    <xf numFmtId="182" fontId="15" fillId="0" borderId="5" xfId="548" applyNumberFormat="1" applyFont="1" applyBorder="1" applyAlignment="1">
      <alignment horizontal="center" vertical="center" wrapText="1"/>
    </xf>
    <xf numFmtId="0" fontId="15" fillId="0" borderId="5" xfId="548" applyFont="1" applyBorder="1" applyAlignment="1">
      <alignment horizontal="center" vertical="center" wrapText="1"/>
    </xf>
    <xf numFmtId="0" fontId="1" fillId="0" borderId="5" xfId="548" applyBorder="1">
      <alignment vertical="center"/>
    </xf>
    <xf numFmtId="0" fontId="16" fillId="0" borderId="5" xfId="548" applyFont="1" applyBorder="1" applyAlignment="1">
      <alignment horizontal="center" vertical="center" wrapText="1"/>
    </xf>
    <xf numFmtId="0" fontId="0" fillId="0" borderId="10" xfId="548" applyFont="1" applyBorder="1" applyAlignment="1">
      <alignment horizontal="center" vertical="center"/>
    </xf>
    <xf numFmtId="0" fontId="15" fillId="0" borderId="17" xfId="548" applyFont="1" applyBorder="1" applyAlignment="1">
      <alignment horizontal="center" vertical="center" wrapText="1"/>
    </xf>
    <xf numFmtId="0" fontId="17" fillId="0" borderId="5" xfId="548" applyFont="1" applyBorder="1" applyAlignment="1">
      <alignment horizontal="center" vertical="center" wrapText="1"/>
    </xf>
    <xf numFmtId="0" fontId="14" fillId="0" borderId="17" xfId="548" applyFont="1" applyBorder="1" applyAlignment="1">
      <alignment horizontal="center" vertical="center" wrapText="1"/>
    </xf>
    <xf numFmtId="0" fontId="3" fillId="0" borderId="0" xfId="392" applyAlignment="1">
      <alignment horizontal="center" vertical="center"/>
    </xf>
    <xf numFmtId="209" fontId="3" fillId="0" borderId="0" xfId="392" applyNumberFormat="1" applyAlignment="1">
      <alignment horizontal="center" vertical="center"/>
    </xf>
    <xf numFmtId="0" fontId="6" fillId="0" borderId="4" xfId="548" applyFont="1" applyBorder="1" applyAlignment="1">
      <alignment horizontal="center" vertical="center" wrapText="1"/>
    </xf>
    <xf numFmtId="0" fontId="7" fillId="0" borderId="10" xfId="548" applyFont="1" applyBorder="1" applyAlignment="1">
      <alignment horizontal="center" vertical="center"/>
    </xf>
    <xf numFmtId="0" fontId="6" fillId="0" borderId="35" xfId="548" applyFont="1" applyBorder="1" applyAlignment="1">
      <alignment horizontal="center" vertical="center" wrapText="1"/>
    </xf>
    <xf numFmtId="209" fontId="7" fillId="0" borderId="5" xfId="548" applyNumberFormat="1" applyFont="1" applyBorder="1" applyAlignment="1">
      <alignment horizontal="center" vertical="center"/>
    </xf>
    <xf numFmtId="209" fontId="7" fillId="0" borderId="10" xfId="548" applyNumberFormat="1" applyFont="1" applyBorder="1" applyAlignment="1">
      <alignment horizontal="center" vertical="center"/>
    </xf>
    <xf numFmtId="209" fontId="7" fillId="0" borderId="37" xfId="548" applyNumberFormat="1" applyFont="1" applyBorder="1" applyAlignment="1">
      <alignment horizontal="center" vertical="center"/>
    </xf>
    <xf numFmtId="210" fontId="7" fillId="0" borderId="37" xfId="548" applyNumberFormat="1" applyFont="1" applyBorder="1" applyAlignment="1">
      <alignment horizontal="center" vertical="center"/>
    </xf>
    <xf numFmtId="0" fontId="1" fillId="0" borderId="38" xfId="548" applyBorder="1" applyAlignment="1">
      <alignment vertical="center" wrapText="1"/>
    </xf>
    <xf numFmtId="0" fontId="3" fillId="0" borderId="17" xfId="392" applyBorder="1" applyAlignment="1">
      <alignment horizontal="center" vertical="center"/>
    </xf>
    <xf numFmtId="0" fontId="10" fillId="0" borderId="0" xfId="392" applyFont="1" applyAlignment="1">
      <alignment horizontal="center" vertical="center"/>
    </xf>
    <xf numFmtId="0" fontId="15" fillId="0" borderId="1" xfId="548" applyFont="1" applyBorder="1" applyAlignment="1">
      <alignment horizontal="center" vertical="center" wrapText="1"/>
    </xf>
    <xf numFmtId="0" fontId="15" fillId="0" borderId="2" xfId="548" applyFont="1" applyBorder="1" applyAlignment="1">
      <alignment horizontal="center" vertical="center" wrapText="1"/>
    </xf>
    <xf numFmtId="0" fontId="1" fillId="0" borderId="2" xfId="548" applyBorder="1" applyAlignment="1">
      <alignment horizontal="center" vertical="center"/>
    </xf>
    <xf numFmtId="0" fontId="15" fillId="0" borderId="26" xfId="548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18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6" fillId="0" borderId="25" xfId="0" applyNumberFormat="1" applyFont="1" applyBorder="1" applyAlignment="1">
      <alignment wrapText="1"/>
    </xf>
    <xf numFmtId="0" fontId="6" fillId="0" borderId="25" xfId="0" applyFont="1" applyBorder="1" applyAlignment="1"/>
    <xf numFmtId="0" fontId="6" fillId="0" borderId="25" xfId="0" applyFont="1" applyBorder="1" applyAlignment="1">
      <alignment wrapText="1"/>
    </xf>
    <xf numFmtId="0" fontId="6" fillId="0" borderId="25" xfId="0" applyFont="1" applyBorder="1" applyAlignment="1">
      <alignment horizontal="left" wrapText="1"/>
    </xf>
    <xf numFmtId="0" fontId="4" fillId="0" borderId="2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82" fontId="8" fillId="0" borderId="5" xfId="0" applyNumberFormat="1" applyFont="1" applyBorder="1" applyAlignment="1">
      <alignment horizontal="center" vertical="center"/>
    </xf>
    <xf numFmtId="182" fontId="7" fillId="0" borderId="5" xfId="0" applyNumberFormat="1" applyFont="1" applyBorder="1" applyAlignment="1">
      <alignment horizontal="center" vertical="center"/>
    </xf>
    <xf numFmtId="204" fontId="6" fillId="0" borderId="10" xfId="0" applyNumberFormat="1" applyFont="1" applyBorder="1" applyAlignment="1">
      <alignment horizontal="center" vertical="center" wrapText="1"/>
    </xf>
    <xf numFmtId="204" fontId="8" fillId="0" borderId="5" xfId="0" applyNumberFormat="1" applyFont="1" applyBorder="1" applyAlignment="1">
      <alignment horizontal="center" vertical="center"/>
    </xf>
    <xf numFmtId="182" fontId="7" fillId="0" borderId="3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left" vertical="center" wrapText="1"/>
    </xf>
    <xf numFmtId="0" fontId="0" fillId="0" borderId="38" xfId="0" applyBorder="1" applyAlignment="1">
      <alignment vertical="center" wrapText="1"/>
    </xf>
    <xf numFmtId="0" fontId="9" fillId="0" borderId="0" xfId="0" applyFont="1">
      <alignment vertical="center"/>
    </xf>
    <xf numFmtId="182" fontId="7" fillId="0" borderId="10" xfId="0" applyNumberFormat="1" applyFont="1" applyBorder="1" applyAlignment="1">
      <alignment horizontal="center" vertical="center"/>
    </xf>
    <xf numFmtId="182" fontId="7" fillId="0" borderId="17" xfId="0" applyNumberFormat="1" applyFont="1" applyBorder="1" applyAlignment="1">
      <alignment horizontal="center" vertical="center"/>
    </xf>
    <xf numFmtId="0" fontId="3" fillId="0" borderId="39" xfId="392" applyBorder="1" applyAlignment="1">
      <alignment horizontal="center" vertical="center"/>
    </xf>
    <xf numFmtId="0" fontId="0" fillId="0" borderId="0" xfId="548" applyFont="1">
      <alignment vertical="center"/>
    </xf>
    <xf numFmtId="0" fontId="0" fillId="0" borderId="0" xfId="548" applyFont="1" applyAlignment="1">
      <alignment horizontal="center" vertical="center"/>
    </xf>
    <xf numFmtId="0" fontId="14" fillId="0" borderId="1" xfId="548" applyFont="1" applyBorder="1" applyAlignment="1">
      <alignment horizontal="center" vertical="center" wrapText="1"/>
    </xf>
    <xf numFmtId="0" fontId="14" fillId="0" borderId="2" xfId="548" applyFont="1" applyBorder="1" applyAlignment="1">
      <alignment horizontal="center" vertical="center" wrapText="1"/>
    </xf>
    <xf numFmtId="0" fontId="14" fillId="0" borderId="26" xfId="548" applyFont="1" applyBorder="1" applyAlignment="1">
      <alignment horizontal="center" vertical="center" wrapText="1"/>
    </xf>
    <xf numFmtId="209" fontId="15" fillId="0" borderId="5" xfId="548" applyNumberFormat="1" applyFont="1" applyBorder="1" applyAlignment="1">
      <alignment horizontal="center" vertical="center" wrapText="1"/>
    </xf>
    <xf numFmtId="182" fontId="0" fillId="0" borderId="0" xfId="548" applyNumberFormat="1" applyFont="1" applyAlignment="1">
      <alignment horizontal="center" vertical="center"/>
    </xf>
    <xf numFmtId="209" fontId="7" fillId="0" borderId="10" xfId="0" applyNumberFormat="1" applyFont="1" applyBorder="1" applyAlignment="1">
      <alignment horizontal="center" vertical="center"/>
    </xf>
    <xf numFmtId="209" fontId="0" fillId="0" borderId="0" xfId="548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4" fillId="0" borderId="4" xfId="548" applyFont="1" applyBorder="1" applyAlignment="1">
      <alignment horizontal="center" vertical="center" wrapText="1"/>
    </xf>
    <xf numFmtId="0" fontId="15" fillId="0" borderId="5" xfId="548" applyFont="1" applyBorder="1" applyAlignment="1">
      <alignment horizontal="center" vertical="center" wrapText="1"/>
    </xf>
    <xf numFmtId="0" fontId="6" fillId="0" borderId="40" xfId="548" applyFont="1" applyBorder="1">
      <alignment vertical="center"/>
    </xf>
    <xf numFmtId="0" fontId="6" fillId="0" borderId="0" xfId="548" applyFont="1">
      <alignment vertical="center"/>
    </xf>
    <xf numFmtId="0" fontId="6" fillId="0" borderId="41" xfId="548" applyFont="1" applyBorder="1">
      <alignment vertical="center"/>
    </xf>
    <xf numFmtId="0" fontId="19" fillId="0" borderId="40" xfId="548" applyFont="1" applyBorder="1" applyAlignment="1">
      <alignment horizontal="left" vertical="center" wrapText="1"/>
    </xf>
    <xf numFmtId="0" fontId="19" fillId="0" borderId="0" xfId="548" applyFont="1" applyAlignment="1">
      <alignment horizontal="left" vertical="center" wrapText="1"/>
    </xf>
    <xf numFmtId="0" fontId="19" fillId="0" borderId="41" xfId="548" applyFont="1" applyBorder="1" applyAlignment="1">
      <alignment horizontal="left" vertical="center" wrapText="1"/>
    </xf>
    <xf numFmtId="0" fontId="19" fillId="0" borderId="24" xfId="548" applyFont="1" applyBorder="1" applyAlignment="1">
      <alignment horizontal="left" vertical="center" wrapText="1"/>
    </xf>
    <xf numFmtId="0" fontId="19" fillId="0" borderId="25" xfId="548" applyFont="1" applyBorder="1" applyAlignment="1">
      <alignment horizontal="left" vertical="center" wrapText="1"/>
    </xf>
    <xf numFmtId="0" fontId="19" fillId="0" borderId="28" xfId="548" applyFont="1" applyBorder="1" applyAlignment="1">
      <alignment horizontal="left" vertical="center" wrapText="1"/>
    </xf>
    <xf numFmtId="0" fontId="15" fillId="0" borderId="0" xfId="548" applyFont="1" applyAlignment="1">
      <alignment horizontal="justify" vertical="center" wrapText="1"/>
    </xf>
    <xf numFmtId="0" fontId="15" fillId="0" borderId="4" xfId="548" applyFont="1" applyBorder="1" applyAlignment="1">
      <alignment horizontal="center" vertical="center" wrapText="1"/>
    </xf>
    <xf numFmtId="0" fontId="11" fillId="0" borderId="0" xfId="548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1" fillId="0" borderId="38" xfId="0" applyFont="1" applyBorder="1" applyAlignment="1">
      <alignment horizontal="right" vertical="center" wrapText="1"/>
    </xf>
    <xf numFmtId="0" fontId="0" fillId="0" borderId="38" xfId="0" applyBorder="1" applyAlignment="1">
      <alignment horizontal="righ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5" fillId="0" borderId="4" xfId="548" applyFont="1" applyBorder="1" applyAlignment="1">
      <alignment horizontal="left" vertical="center" wrapText="1"/>
    </xf>
    <xf numFmtId="0" fontId="15" fillId="0" borderId="5" xfId="548" applyFont="1" applyBorder="1" applyAlignment="1">
      <alignment horizontal="left" vertical="center" wrapText="1"/>
    </xf>
    <xf numFmtId="0" fontId="15" fillId="0" borderId="17" xfId="548" applyFont="1" applyBorder="1" applyAlignment="1">
      <alignment horizontal="left" vertical="center" wrapText="1"/>
    </xf>
    <xf numFmtId="182" fontId="15" fillId="0" borderId="5" xfId="548" applyNumberFormat="1" applyFont="1" applyBorder="1" applyAlignment="1">
      <alignment horizontal="center" vertical="center" wrapText="1"/>
    </xf>
    <xf numFmtId="2" fontId="15" fillId="0" borderId="5" xfId="548" applyNumberFormat="1" applyFont="1" applyBorder="1" applyAlignment="1">
      <alignment horizontal="center" vertical="center" wrapText="1"/>
    </xf>
    <xf numFmtId="0" fontId="4" fillId="0" borderId="0" xfId="548" applyFont="1" applyAlignment="1">
      <alignment horizontal="center" vertical="center"/>
    </xf>
    <xf numFmtId="0" fontId="6" fillId="0" borderId="25" xfId="548" applyFont="1" applyBorder="1" applyAlignment="1">
      <alignment horizontal="left" wrapText="1"/>
    </xf>
    <xf numFmtId="0" fontId="6" fillId="0" borderId="3" xfId="548" applyFont="1" applyBorder="1" applyAlignment="1">
      <alignment horizontal="center" vertical="center" wrapText="1"/>
    </xf>
    <xf numFmtId="0" fontId="6" fillId="0" borderId="9" xfId="548" applyFont="1" applyBorder="1" applyAlignment="1">
      <alignment horizontal="center" vertical="center" wrapText="1"/>
    </xf>
    <xf numFmtId="0" fontId="6" fillId="0" borderId="14" xfId="548" applyFont="1" applyBorder="1" applyAlignment="1">
      <alignment horizontal="center" vertical="center" wrapText="1"/>
    </xf>
    <xf numFmtId="0" fontId="7" fillId="0" borderId="36" xfId="548" applyFont="1" applyBorder="1" applyAlignment="1">
      <alignment horizontal="center" vertical="center"/>
    </xf>
    <xf numFmtId="0" fontId="7" fillId="0" borderId="37" xfId="548" applyFont="1" applyBorder="1" applyAlignment="1">
      <alignment horizontal="center" vertical="center"/>
    </xf>
    <xf numFmtId="0" fontId="0" fillId="0" borderId="38" xfId="548" applyFont="1" applyBorder="1" applyAlignment="1">
      <alignment horizontal="left" vertical="center" wrapText="1"/>
    </xf>
    <xf numFmtId="0" fontId="1" fillId="0" borderId="38" xfId="548" applyBorder="1" applyAlignment="1">
      <alignment horizontal="left" vertical="center" wrapText="1"/>
    </xf>
    <xf numFmtId="0" fontId="1" fillId="0" borderId="38" xfId="548" applyBorder="1" applyAlignment="1">
      <alignment horizontal="right" vertical="center" wrapText="1"/>
    </xf>
    <xf numFmtId="0" fontId="6" fillId="0" borderId="29" xfId="548" applyFont="1" applyBorder="1" applyAlignment="1">
      <alignment horizontal="center" vertical="center" wrapText="1"/>
    </xf>
    <xf numFmtId="0" fontId="6" fillId="0" borderId="20" xfId="548" applyFont="1" applyBorder="1" applyAlignment="1">
      <alignment horizontal="center" vertical="center" wrapText="1"/>
    </xf>
    <xf numFmtId="0" fontId="6" fillId="0" borderId="33" xfId="548" applyFont="1" applyBorder="1" applyAlignment="1">
      <alignment horizontal="center" vertical="center" wrapText="1"/>
    </xf>
    <xf numFmtId="0" fontId="6" fillId="0" borderId="30" xfId="548" applyFont="1" applyBorder="1" applyAlignment="1">
      <alignment horizontal="center" vertical="center" wrapText="1"/>
    </xf>
    <xf numFmtId="0" fontId="6" fillId="0" borderId="21" xfId="548" applyFont="1" applyBorder="1" applyAlignment="1">
      <alignment horizontal="center" vertical="center" wrapText="1"/>
    </xf>
    <xf numFmtId="0" fontId="6" fillId="0" borderId="6" xfId="548" applyFont="1" applyBorder="1" applyAlignment="1">
      <alignment horizontal="center" vertical="center" wrapText="1"/>
    </xf>
    <xf numFmtId="0" fontId="5" fillId="0" borderId="31" xfId="548" applyFont="1" applyBorder="1" applyAlignment="1">
      <alignment horizontal="center" vertical="center"/>
    </xf>
    <xf numFmtId="0" fontId="5" fillId="0" borderId="34" xfId="548" applyFont="1" applyBorder="1" applyAlignment="1">
      <alignment horizontal="center" vertical="center"/>
    </xf>
    <xf numFmtId="0" fontId="5" fillId="0" borderId="32" xfId="548" applyFont="1" applyBorder="1" applyAlignment="1">
      <alignment horizontal="center" vertical="center"/>
    </xf>
    <xf numFmtId="0" fontId="5" fillId="0" borderId="15" xfId="548" applyFont="1" applyBorder="1" applyAlignment="1">
      <alignment horizontal="center" vertical="center"/>
    </xf>
    <xf numFmtId="0" fontId="5" fillId="0" borderId="32" xfId="548" applyFont="1" applyBorder="1" applyAlignment="1">
      <alignment horizontal="center" vertical="center" wrapText="1"/>
    </xf>
    <xf numFmtId="0" fontId="5" fillId="0" borderId="15" xfId="548" applyFont="1" applyBorder="1" applyAlignment="1">
      <alignment horizontal="center" vertical="center" wrapText="1"/>
    </xf>
    <xf numFmtId="0" fontId="5" fillId="0" borderId="31" xfId="548" applyFont="1" applyBorder="1" applyAlignment="1">
      <alignment horizontal="center" vertical="center" wrapText="1"/>
    </xf>
    <xf numFmtId="0" fontId="5" fillId="0" borderId="34" xfId="548" applyFont="1" applyBorder="1" applyAlignment="1">
      <alignment horizontal="center" vertical="center" wrapText="1"/>
    </xf>
    <xf numFmtId="0" fontId="5" fillId="0" borderId="13" xfId="548" applyFont="1" applyBorder="1" applyAlignment="1">
      <alignment horizontal="center" vertical="center" wrapText="1"/>
    </xf>
    <xf numFmtId="0" fontId="5" fillId="0" borderId="6" xfId="548" applyFont="1" applyBorder="1" applyAlignment="1">
      <alignment horizontal="center" vertical="center"/>
    </xf>
    <xf numFmtId="0" fontId="2" fillId="0" borderId="26" xfId="548" applyFont="1" applyBorder="1" applyAlignment="1">
      <alignment horizontal="center" vertical="center"/>
    </xf>
    <xf numFmtId="0" fontId="2" fillId="0" borderId="17" xfId="548" applyFont="1" applyBorder="1" applyAlignment="1">
      <alignment horizontal="center" vertical="center"/>
    </xf>
    <xf numFmtId="0" fontId="12" fillId="0" borderId="1" xfId="548" applyFont="1" applyBorder="1" applyAlignment="1">
      <alignment horizontal="center" vertical="center" wrapText="1"/>
    </xf>
    <xf numFmtId="0" fontId="0" fillId="0" borderId="2" xfId="548" applyFont="1" applyBorder="1" applyAlignment="1">
      <alignment horizontal="center" vertical="center"/>
    </xf>
    <xf numFmtId="0" fontId="13" fillId="0" borderId="2" xfId="548" applyFont="1" applyBorder="1" applyAlignment="1">
      <alignment horizontal="center" vertical="center" wrapText="1"/>
    </xf>
    <xf numFmtId="0" fontId="0" fillId="0" borderId="26" xfId="548" applyFont="1" applyBorder="1" applyAlignment="1">
      <alignment horizontal="center" vertical="center"/>
    </xf>
    <xf numFmtId="0" fontId="12" fillId="0" borderId="4" xfId="548" applyFont="1" applyBorder="1" applyAlignment="1">
      <alignment horizontal="center" vertical="center" wrapText="1"/>
    </xf>
    <xf numFmtId="0" fontId="0" fillId="0" borderId="5" xfId="548" applyFont="1" applyBorder="1" applyAlignment="1">
      <alignment horizontal="center" vertical="center"/>
    </xf>
    <xf numFmtId="0" fontId="16" fillId="0" borderId="10" xfId="548" applyFont="1" applyBorder="1" applyAlignment="1">
      <alignment horizontal="center" vertical="center" wrapText="1"/>
    </xf>
    <xf numFmtId="0" fontId="16" fillId="0" borderId="11" xfId="548" applyFont="1" applyBorder="1" applyAlignment="1">
      <alignment horizontal="center" vertical="center" wrapText="1"/>
    </xf>
    <xf numFmtId="0" fontId="16" fillId="0" borderId="12" xfId="548" applyFont="1" applyBorder="1" applyAlignment="1">
      <alignment horizontal="center" vertical="center" wrapText="1"/>
    </xf>
    <xf numFmtId="0" fontId="16" fillId="0" borderId="5" xfId="548" applyFont="1" applyBorder="1" applyAlignment="1">
      <alignment horizontal="center" vertical="center" wrapText="1"/>
    </xf>
    <xf numFmtId="0" fontId="15" fillId="0" borderId="17" xfId="548" applyFont="1" applyBorder="1" applyAlignment="1">
      <alignment horizontal="center" vertical="center" wrapText="1"/>
    </xf>
    <xf numFmtId="0" fontId="17" fillId="0" borderId="5" xfId="548" applyFont="1" applyBorder="1" applyAlignment="1">
      <alignment horizontal="center" vertical="center" wrapText="1"/>
    </xf>
    <xf numFmtId="0" fontId="15" fillId="0" borderId="19" xfId="548" applyFont="1" applyBorder="1" applyAlignment="1">
      <alignment horizontal="center" vertical="center" wrapText="1"/>
    </xf>
    <xf numFmtId="0" fontId="15" fillId="0" borderId="20" xfId="548" applyFont="1" applyBorder="1" applyAlignment="1">
      <alignment horizontal="center" vertical="center" wrapText="1"/>
    </xf>
    <xf numFmtId="0" fontId="15" fillId="0" borderId="13" xfId="548" applyFont="1" applyBorder="1" applyAlignment="1">
      <alignment horizontal="center" vertical="center" wrapText="1"/>
    </xf>
    <xf numFmtId="0" fontId="15" fillId="0" borderId="21" xfId="548" applyFont="1" applyBorder="1" applyAlignment="1">
      <alignment horizontal="center" vertical="center" wrapText="1"/>
    </xf>
    <xf numFmtId="0" fontId="15" fillId="0" borderId="6" xfId="548" applyFont="1" applyBorder="1" applyAlignment="1">
      <alignment horizontal="center" vertical="center" wrapText="1"/>
    </xf>
    <xf numFmtId="0" fontId="15" fillId="0" borderId="22" xfId="548" applyFont="1" applyBorder="1" applyAlignment="1">
      <alignment horizontal="left" vertical="top" wrapText="1"/>
    </xf>
    <xf numFmtId="0" fontId="15" fillId="0" borderId="23" xfId="548" applyFont="1" applyBorder="1" applyAlignment="1">
      <alignment horizontal="left" vertical="top" wrapText="1"/>
    </xf>
    <xf numFmtId="0" fontId="15" fillId="0" borderId="27" xfId="548" applyFont="1" applyBorder="1" applyAlignment="1">
      <alignment horizontal="left" vertical="top" wrapText="1"/>
    </xf>
    <xf numFmtId="0" fontId="15" fillId="0" borderId="24" xfId="548" applyFont="1" applyBorder="1" applyAlignment="1">
      <alignment horizontal="left" vertical="top" wrapText="1"/>
    </xf>
    <xf numFmtId="0" fontId="15" fillId="0" borderId="25" xfId="548" applyFont="1" applyBorder="1" applyAlignment="1">
      <alignment horizontal="left" vertical="top" wrapText="1"/>
    </xf>
    <xf numFmtId="0" fontId="15" fillId="0" borderId="28" xfId="548" applyFont="1" applyBorder="1" applyAlignment="1">
      <alignment horizontal="left" vertical="top" wrapText="1"/>
    </xf>
    <xf numFmtId="0" fontId="6" fillId="0" borderId="10" xfId="548" applyFont="1" applyBorder="1" applyAlignment="1">
      <alignment horizontal="center" vertical="center" wrapText="1"/>
    </xf>
    <xf numFmtId="0" fontId="6" fillId="0" borderId="11" xfId="548" applyFont="1" applyBorder="1" applyAlignment="1">
      <alignment horizontal="center" vertical="center" wrapText="1"/>
    </xf>
    <xf numFmtId="0" fontId="6" fillId="0" borderId="12" xfId="548" applyFont="1" applyBorder="1" applyAlignment="1">
      <alignment horizontal="center" vertical="center" wrapText="1"/>
    </xf>
    <xf numFmtId="0" fontId="7" fillId="0" borderId="4" xfId="548" applyFont="1" applyBorder="1" applyAlignment="1">
      <alignment horizontal="center" vertical="center"/>
    </xf>
    <xf numFmtId="0" fontId="7" fillId="0" borderId="5" xfId="548" applyFont="1" applyBorder="1" applyAlignment="1">
      <alignment horizontal="center" vertical="center"/>
    </xf>
    <xf numFmtId="0" fontId="5" fillId="0" borderId="7" xfId="548" applyFont="1" applyBorder="1" applyAlignment="1">
      <alignment horizontal="left" vertical="center" wrapText="1"/>
    </xf>
    <xf numFmtId="0" fontId="5" fillId="0" borderId="8" xfId="548" applyFont="1" applyBorder="1" applyAlignment="1">
      <alignment horizontal="left" vertical="center" wrapText="1"/>
    </xf>
    <xf numFmtId="0" fontId="5" fillId="0" borderId="18" xfId="548" applyFont="1" applyBorder="1" applyAlignment="1">
      <alignment horizontal="left" vertical="center" wrapText="1"/>
    </xf>
    <xf numFmtId="0" fontId="1" fillId="0" borderId="0" xfId="548" applyAlignment="1">
      <alignment vertical="center" wrapText="1"/>
    </xf>
    <xf numFmtId="0" fontId="5" fillId="0" borderId="1" xfId="548" applyFont="1" applyBorder="1" applyAlignment="1">
      <alignment horizontal="center" vertical="center" wrapText="1"/>
    </xf>
    <xf numFmtId="0" fontId="5" fillId="0" borderId="4" xfId="548" applyFont="1" applyBorder="1" applyAlignment="1">
      <alignment horizontal="center" vertical="center" wrapText="1"/>
    </xf>
    <xf numFmtId="0" fontId="6" fillId="0" borderId="2" xfId="548" applyFont="1" applyBorder="1" applyAlignment="1">
      <alignment horizontal="center" vertical="center" wrapText="1"/>
    </xf>
    <xf numFmtId="0" fontId="6" fillId="0" borderId="5" xfId="548" applyFont="1" applyBorder="1" applyAlignment="1">
      <alignment horizontal="center" vertical="center" wrapText="1"/>
    </xf>
    <xf numFmtId="0" fontId="6" fillId="0" borderId="13" xfId="548" applyFont="1" applyBorder="1" applyAlignment="1">
      <alignment horizontal="center" vertical="center" wrapText="1"/>
    </xf>
    <xf numFmtId="0" fontId="2" fillId="0" borderId="16" xfId="548" applyFont="1" applyBorder="1" applyAlignment="1">
      <alignment horizontal="center" vertical="center"/>
    </xf>
    <xf numFmtId="0" fontId="100" fillId="0" borderId="10" xfId="0" applyFont="1" applyBorder="1" applyAlignment="1">
      <alignment horizontal="center" vertical="center"/>
    </xf>
  </cellXfs>
  <cellStyles count="711">
    <cellStyle name="?鹎%U龡&amp;H?_x0008__x001c__x001c_?_x0007__x0001__x0001_" xfId="70" xr:uid="{00000000-0005-0000-0000-000076000000}"/>
    <cellStyle name="]" xfId="71" xr:uid="{00000000-0005-0000-0000-000077000000}"/>
    <cellStyle name="_20100326高清市院遂宁检察院1080P配置清单26日改" xfId="38" xr:uid="{00000000-0005-0000-0000-00003A000000}"/>
    <cellStyle name="_Book1" xfId="73" xr:uid="{00000000-0005-0000-0000-000079000000}"/>
    <cellStyle name="_Book1_1" xfId="34" xr:uid="{00000000-0005-0000-0000-000033000000}"/>
    <cellStyle name="_Book1_1_Book1" xfId="60" xr:uid="{00000000-0005-0000-0000-000066000000}"/>
    <cellStyle name="_Book1_2" xfId="75" xr:uid="{00000000-0005-0000-0000-00007B000000}"/>
    <cellStyle name="_Book1_3" xfId="77" xr:uid="{00000000-0005-0000-0000-00007D000000}"/>
    <cellStyle name="_ET_STYLE_NoName_00_" xfId="29" xr:uid="{00000000-0005-0000-0000-00002D000000}"/>
    <cellStyle name="_ET_STYLE_NoName_00__Book1" xfId="16" xr:uid="{00000000-0005-0000-0000-00001C000000}"/>
    <cellStyle name="_ET_STYLE_NoName_00__Book1_1" xfId="79" xr:uid="{00000000-0005-0000-0000-00007F000000}"/>
    <cellStyle name="_ET_STYLE_NoName_00__Book1_1_县公司" xfId="81" xr:uid="{00000000-0005-0000-0000-000081000000}"/>
    <cellStyle name="_ET_STYLE_NoName_00__Book1_1_银行账户情况表_2010年12月" xfId="51" xr:uid="{00000000-0005-0000-0000-000052000000}"/>
    <cellStyle name="_ET_STYLE_NoName_00__Book1_2" xfId="83" xr:uid="{00000000-0005-0000-0000-000083000000}"/>
    <cellStyle name="_ET_STYLE_NoName_00__Book1_Book1" xfId="86" xr:uid="{00000000-0005-0000-0000-000086000000}"/>
    <cellStyle name="_ET_STYLE_NoName_00__Book1_县公司" xfId="88" xr:uid="{00000000-0005-0000-0000-000088000000}"/>
    <cellStyle name="_ET_STYLE_NoName_00__Book1_银行账户情况表_2010年12月" xfId="90" xr:uid="{00000000-0005-0000-0000-00008A000000}"/>
    <cellStyle name="_ET_STYLE_NoName_00__Sheet3" xfId="18" xr:uid="{00000000-0005-0000-0000-00001F000000}"/>
    <cellStyle name="_ET_STYLE_NoName_00__建行" xfId="91" xr:uid="{00000000-0005-0000-0000-00008B000000}"/>
    <cellStyle name="_ET_STYLE_NoName_00__县公司" xfId="46" xr:uid="{00000000-0005-0000-0000-000048000000}"/>
    <cellStyle name="_ET_STYLE_NoName_00__银行账户情况表_2010年12月" xfId="98" xr:uid="{00000000-0005-0000-0000-000092000000}"/>
    <cellStyle name="_ET_STYLE_NoName_00__云南水利电力有限公司" xfId="100" xr:uid="{00000000-0005-0000-0000-000094000000}"/>
    <cellStyle name="_Sheet1" xfId="103" xr:uid="{00000000-0005-0000-0000-000097000000}"/>
    <cellStyle name="_本部汇总" xfId="106" xr:uid="{00000000-0005-0000-0000-00009A000000}"/>
    <cellStyle name="_南方电网" xfId="108" xr:uid="{00000000-0005-0000-0000-00009C000000}"/>
    <cellStyle name="_弱电系统设备配置报价清单" xfId="65" xr:uid="{00000000-0005-0000-0000-000070000000}"/>
    <cellStyle name="0,0_x000d__x000a_NA_x000d__x000a_" xfId="37" xr:uid="{00000000-0005-0000-0000-000038000000}"/>
    <cellStyle name="20% - Accent1" xfId="109" xr:uid="{00000000-0005-0000-0000-00009D000000}"/>
    <cellStyle name="20% - Accent2" xfId="112" xr:uid="{00000000-0005-0000-0000-0000A0000000}"/>
    <cellStyle name="20% - Accent3" xfId="113" xr:uid="{00000000-0005-0000-0000-0000A1000000}"/>
    <cellStyle name="20% - Accent4" xfId="114" xr:uid="{00000000-0005-0000-0000-0000A2000000}"/>
    <cellStyle name="20% - Accent5" xfId="115" xr:uid="{00000000-0005-0000-0000-0000A3000000}"/>
    <cellStyle name="20% - Accent6" xfId="116" xr:uid="{00000000-0005-0000-0000-0000A4000000}"/>
    <cellStyle name="20% - 强调文字颜色 1 2" xfId="118" xr:uid="{00000000-0005-0000-0000-0000A6000000}"/>
    <cellStyle name="20% - 强调文字颜色 1_面积测算-商业-工业" xfId="121" xr:uid="{00000000-0005-0000-0000-0000A9000000}"/>
    <cellStyle name="20% - 强调文字颜色 2 2" xfId="123" xr:uid="{00000000-0005-0000-0000-0000AB000000}"/>
    <cellStyle name="20% - 强调文字颜色 2_面积测算-商业-工业" xfId="39" xr:uid="{00000000-0005-0000-0000-00003B000000}"/>
    <cellStyle name="20% - 强调文字颜色 3 2" xfId="125" xr:uid="{00000000-0005-0000-0000-0000AD000000}"/>
    <cellStyle name="20% - 强调文字颜色 3_面积测算-商业-工业" xfId="127" xr:uid="{00000000-0005-0000-0000-0000AF000000}"/>
    <cellStyle name="20% - 强调文字颜色 4 2" xfId="130" xr:uid="{00000000-0005-0000-0000-0000B2000000}"/>
    <cellStyle name="20% - 强调文字颜色 4_面积测算-商业-工业" xfId="134" xr:uid="{00000000-0005-0000-0000-0000B6000000}"/>
    <cellStyle name="20% - 强调文字颜色 5 2" xfId="137" xr:uid="{00000000-0005-0000-0000-0000B9000000}"/>
    <cellStyle name="20% - 强调文字颜色 5_面积测算-商业-工业" xfId="139" xr:uid="{00000000-0005-0000-0000-0000BB000000}"/>
    <cellStyle name="20% - 强调文字颜色 6 2" xfId="141" xr:uid="{00000000-0005-0000-0000-0000BD000000}"/>
    <cellStyle name="20% - 强调文字颜色 6_面积测算-商业-工业" xfId="142" xr:uid="{00000000-0005-0000-0000-0000BE000000}"/>
    <cellStyle name="40% - Accent1" xfId="144" xr:uid="{00000000-0005-0000-0000-0000C0000000}"/>
    <cellStyle name="40% - Accent2" xfId="147" xr:uid="{00000000-0005-0000-0000-0000C3000000}"/>
    <cellStyle name="40% - Accent3" xfId="149" xr:uid="{00000000-0005-0000-0000-0000C5000000}"/>
    <cellStyle name="40% - Accent4" xfId="132" xr:uid="{00000000-0005-0000-0000-0000B4000000}"/>
    <cellStyle name="40% - Accent5" xfId="152" xr:uid="{00000000-0005-0000-0000-0000C8000000}"/>
    <cellStyle name="40% - Accent6" xfId="158" xr:uid="{00000000-0005-0000-0000-0000CE000000}"/>
    <cellStyle name="40% - 强调文字颜色 1 2" xfId="161" xr:uid="{00000000-0005-0000-0000-0000D1000000}"/>
    <cellStyle name="40% - 强调文字颜色 1_面积测算-商业-工业" xfId="28" xr:uid="{00000000-0005-0000-0000-00002C000000}"/>
    <cellStyle name="40% - 强调文字颜色 2 2" xfId="163" xr:uid="{00000000-0005-0000-0000-0000D3000000}"/>
    <cellStyle name="40% - 强调文字颜色 2_面积测算-商业-工业" xfId="9" xr:uid="{00000000-0005-0000-0000-000011000000}"/>
    <cellStyle name="40% - 强调文字颜色 3 2" xfId="164" xr:uid="{00000000-0005-0000-0000-0000D4000000}"/>
    <cellStyle name="40% - 强调文字颜色 3_面积测算-商业-工业" xfId="78" xr:uid="{00000000-0005-0000-0000-00007E000000}"/>
    <cellStyle name="40% - 强调文字颜色 4 2" xfId="45" xr:uid="{00000000-0005-0000-0000-000046000000}"/>
    <cellStyle name="40% - 强调文字颜色 4_面积测算-商业-工业" xfId="166" xr:uid="{00000000-0005-0000-0000-0000D6000000}"/>
    <cellStyle name="40% - 强调文字颜色 5 2" xfId="168" xr:uid="{00000000-0005-0000-0000-0000D8000000}"/>
    <cellStyle name="40% - 强调文字颜色 5_面积测算-商业-工业" xfId="171" xr:uid="{00000000-0005-0000-0000-0000DB000000}"/>
    <cellStyle name="40% - 强调文字颜色 6 2" xfId="174" xr:uid="{00000000-0005-0000-0000-0000DE000000}"/>
    <cellStyle name="40% - 强调文字颜色 6_面积测算-商业-工业" xfId="175" xr:uid="{00000000-0005-0000-0000-0000DF000000}"/>
    <cellStyle name="60% - Accent1" xfId="178" xr:uid="{00000000-0005-0000-0000-0000E2000000}"/>
    <cellStyle name="60% - Accent2" xfId="182" xr:uid="{00000000-0005-0000-0000-0000E6000000}"/>
    <cellStyle name="60% - Accent3" xfId="186" xr:uid="{00000000-0005-0000-0000-0000EA000000}"/>
    <cellStyle name="60% - Accent4" xfId="189" xr:uid="{00000000-0005-0000-0000-0000ED000000}"/>
    <cellStyle name="60% - Accent5" xfId="195" xr:uid="{00000000-0005-0000-0000-0000F3000000}"/>
    <cellStyle name="60% - Accent6" xfId="199" xr:uid="{00000000-0005-0000-0000-0000F7000000}"/>
    <cellStyle name="60% - 强调文字颜色 1 2" xfId="202" xr:uid="{00000000-0005-0000-0000-0000FA000000}"/>
    <cellStyle name="60% - 强调文字颜色 1_面积测算-商业-工业" xfId="206" xr:uid="{00000000-0005-0000-0000-0000FE000000}"/>
    <cellStyle name="60% - 强调文字颜色 2 2" xfId="207" xr:uid="{00000000-0005-0000-0000-0000FF000000}"/>
    <cellStyle name="60% - 强调文字颜色 2_面积测算-商业-工业" xfId="209" xr:uid="{00000000-0005-0000-0000-000001010000}"/>
    <cellStyle name="60% - 强调文字颜色 3 2" xfId="210" xr:uid="{00000000-0005-0000-0000-000002010000}"/>
    <cellStyle name="60% - 强调文字颜色 3_面积测算-商业-工业" xfId="211" xr:uid="{00000000-0005-0000-0000-000003010000}"/>
    <cellStyle name="60% - 强调文字颜色 4 2" xfId="212" xr:uid="{00000000-0005-0000-0000-000004010000}"/>
    <cellStyle name="60% - 强调文字颜色 4 3" xfId="92" xr:uid="{00000000-0005-0000-0000-00008C000000}"/>
    <cellStyle name="60% - 强调文字颜色 4_面积测算-商业-工业" xfId="216" xr:uid="{00000000-0005-0000-0000-000008010000}"/>
    <cellStyle name="60% - 强调文字颜色 5 2" xfId="217" xr:uid="{00000000-0005-0000-0000-000009010000}"/>
    <cellStyle name="60% - 强调文字颜色 5_面积测算-商业-工业" xfId="218" xr:uid="{00000000-0005-0000-0000-00000A010000}"/>
    <cellStyle name="60% - 强调文字颜色 6 2" xfId="219" xr:uid="{00000000-0005-0000-0000-00000B010000}"/>
    <cellStyle name="60% - 强调文字颜色 6_面积测算-商业-工业" xfId="221" xr:uid="{00000000-0005-0000-0000-00000D010000}"/>
    <cellStyle name="6mal" xfId="223" xr:uid="{00000000-0005-0000-0000-00000F010000}"/>
    <cellStyle name="Accent1" xfId="224" xr:uid="{00000000-0005-0000-0000-000010010000}"/>
    <cellStyle name="Accent1 - 20%" xfId="110" xr:uid="{00000000-0005-0000-0000-00009E000000}"/>
    <cellStyle name="Accent1 - 40%" xfId="225" xr:uid="{00000000-0005-0000-0000-000011010000}"/>
    <cellStyle name="Accent1 - 60%" xfId="228" xr:uid="{00000000-0005-0000-0000-000014010000}"/>
    <cellStyle name="Accent1_Book1" xfId="40" xr:uid="{00000000-0005-0000-0000-00003C000000}"/>
    <cellStyle name="Accent2" xfId="230" xr:uid="{00000000-0005-0000-0000-000016010000}"/>
    <cellStyle name="Accent2 - 20%" xfId="74" xr:uid="{00000000-0005-0000-0000-00007A000000}"/>
    <cellStyle name="Accent2 - 40%" xfId="7" xr:uid="{00000000-0005-0000-0000-00000C000000}"/>
    <cellStyle name="Accent2 - 60%" xfId="12" xr:uid="{00000000-0005-0000-0000-000015000000}"/>
    <cellStyle name="Accent2_Book1" xfId="231" xr:uid="{00000000-0005-0000-0000-000017010000}"/>
    <cellStyle name="Accent3" xfId="232" xr:uid="{00000000-0005-0000-0000-000018010000}"/>
    <cellStyle name="Accent3 - 20%" xfId="237" xr:uid="{00000000-0005-0000-0000-00001D010000}"/>
    <cellStyle name="Accent3 - 40%" xfId="238" xr:uid="{00000000-0005-0000-0000-00001E010000}"/>
    <cellStyle name="Accent3 - 60%" xfId="243" xr:uid="{00000000-0005-0000-0000-000023010000}"/>
    <cellStyle name="Accent3_Book1" xfId="244" xr:uid="{00000000-0005-0000-0000-000024010000}"/>
    <cellStyle name="Accent4" xfId="247" xr:uid="{00000000-0005-0000-0000-000027010000}"/>
    <cellStyle name="Accent4 - 20%" xfId="248" xr:uid="{00000000-0005-0000-0000-000028010000}"/>
    <cellStyle name="Accent4 - 40%" xfId="249" xr:uid="{00000000-0005-0000-0000-000029010000}"/>
    <cellStyle name="Accent4 - 60%" xfId="250" xr:uid="{00000000-0005-0000-0000-00002A010000}"/>
    <cellStyle name="Accent4_Book1" xfId="183" xr:uid="{00000000-0005-0000-0000-0000E7000000}"/>
    <cellStyle name="Accent5" xfId="253" xr:uid="{00000000-0005-0000-0000-00002D010000}"/>
    <cellStyle name="Accent5 - 20%" xfId="84" xr:uid="{00000000-0005-0000-0000-000084000000}"/>
    <cellStyle name="Accent5 - 40%" xfId="257" xr:uid="{00000000-0005-0000-0000-000031010000}"/>
    <cellStyle name="Accent5 - 60%" xfId="258" xr:uid="{00000000-0005-0000-0000-000032010000}"/>
    <cellStyle name="Accent5_Book1" xfId="260" xr:uid="{00000000-0005-0000-0000-000034010000}"/>
    <cellStyle name="Accent6" xfId="262" xr:uid="{00000000-0005-0000-0000-000036010000}"/>
    <cellStyle name="Accent6 - 20%" xfId="97" xr:uid="{00000000-0005-0000-0000-000091000000}"/>
    <cellStyle name="Accent6 - 40%" xfId="263" xr:uid="{00000000-0005-0000-0000-000037010000}"/>
    <cellStyle name="Accent6 - 60%" xfId="265" xr:uid="{00000000-0005-0000-0000-000039010000}"/>
    <cellStyle name="Accent6_Book1" xfId="214" xr:uid="{00000000-0005-0000-0000-000006010000}"/>
    <cellStyle name="args.style" xfId="6" xr:uid="{00000000-0005-0000-0000-00000A000000}"/>
    <cellStyle name="Bad" xfId="266" xr:uid="{00000000-0005-0000-0000-00003A010000}"/>
    <cellStyle name="Black" xfId="153" xr:uid="{00000000-0005-0000-0000-0000C9000000}"/>
    <cellStyle name="Border" xfId="246" xr:uid="{00000000-0005-0000-0000-000026010000}"/>
    <cellStyle name="Calc Currency (0)" xfId="268" xr:uid="{00000000-0005-0000-0000-00003C010000}"/>
    <cellStyle name="Calculation" xfId="271" xr:uid="{00000000-0005-0000-0000-00003F010000}"/>
    <cellStyle name="Check Cell" xfId="272" xr:uid="{00000000-0005-0000-0000-000040010000}"/>
    <cellStyle name="ColLevel_0" xfId="68" xr:uid="{00000000-0005-0000-0000-000074000000}"/>
    <cellStyle name="Comma [0]" xfId="274" xr:uid="{00000000-0005-0000-0000-000042010000}"/>
    <cellStyle name="comma zerodec" xfId="277" xr:uid="{00000000-0005-0000-0000-000045010000}"/>
    <cellStyle name="Comma_!!!GO" xfId="279" xr:uid="{00000000-0005-0000-0000-000047010000}"/>
    <cellStyle name="comma-d" xfId="143" xr:uid="{00000000-0005-0000-0000-0000BF000000}"/>
    <cellStyle name="Currency [0]" xfId="48" xr:uid="{00000000-0005-0000-0000-00004B000000}"/>
    <cellStyle name="Currency_!!!GO" xfId="283" xr:uid="{00000000-0005-0000-0000-00004B010000}"/>
    <cellStyle name="Currency1" xfId="285" xr:uid="{00000000-0005-0000-0000-00004D010000}"/>
    <cellStyle name="Date" xfId="289" xr:uid="{00000000-0005-0000-0000-000051010000}"/>
    <cellStyle name="Dezimal [0]_laroux" xfId="89" xr:uid="{00000000-0005-0000-0000-000089000000}"/>
    <cellStyle name="Dezimal_laroux" xfId="290" xr:uid="{00000000-0005-0000-0000-000052010000}"/>
    <cellStyle name="Dollar (zero dec)" xfId="292" xr:uid="{00000000-0005-0000-0000-000054010000}"/>
    <cellStyle name="Explanatory Text" xfId="296" xr:uid="{00000000-0005-0000-0000-000058010000}"/>
    <cellStyle name="Fixed" xfId="297" xr:uid="{00000000-0005-0000-0000-000059010000}"/>
    <cellStyle name="Followed Hyperlink_AheadBehind.xls Chart 23" xfId="300" xr:uid="{00000000-0005-0000-0000-00005C010000}"/>
    <cellStyle name="Good" xfId="105" xr:uid="{00000000-0005-0000-0000-000099000000}"/>
    <cellStyle name="Grey" xfId="301" xr:uid="{00000000-0005-0000-0000-00005D010000}"/>
    <cellStyle name="Header1" xfId="306" xr:uid="{00000000-0005-0000-0000-000062010000}"/>
    <cellStyle name="Header2" xfId="307" xr:uid="{00000000-0005-0000-0000-000063010000}"/>
    <cellStyle name="Heading 1" xfId="76" xr:uid="{00000000-0005-0000-0000-00007C000000}"/>
    <cellStyle name="Heading 2" xfId="126" xr:uid="{00000000-0005-0000-0000-0000AE000000}"/>
    <cellStyle name="Heading 3" xfId="52" xr:uid="{00000000-0005-0000-0000-000053000000}"/>
    <cellStyle name="Heading 4" xfId="205" xr:uid="{00000000-0005-0000-0000-0000FD000000}"/>
    <cellStyle name="HEADING1" xfId="309" xr:uid="{00000000-0005-0000-0000-000065010000}"/>
    <cellStyle name="HEADING2" xfId="310" xr:uid="{00000000-0005-0000-0000-000066010000}"/>
    <cellStyle name="Hyperlink_AheadBehind.xls Chart 23" xfId="190" xr:uid="{00000000-0005-0000-0000-0000EE000000}"/>
    <cellStyle name="Input" xfId="44" xr:uid="{00000000-0005-0000-0000-000045000000}"/>
    <cellStyle name="Input [yellow]" xfId="313" xr:uid="{00000000-0005-0000-0000-000069010000}"/>
    <cellStyle name="Input Cells" xfId="315" xr:uid="{00000000-0005-0000-0000-00006B010000}"/>
    <cellStyle name="Input_Book1" xfId="267" xr:uid="{00000000-0005-0000-0000-00003B010000}"/>
    <cellStyle name="Linked Cell" xfId="317" xr:uid="{00000000-0005-0000-0000-00006D010000}"/>
    <cellStyle name="Linked Cells" xfId="319" xr:uid="{00000000-0005-0000-0000-00006F010000}"/>
    <cellStyle name="Millares [0]_96 Risk" xfId="320" xr:uid="{00000000-0005-0000-0000-000070010000}"/>
    <cellStyle name="Millares_96 Risk" xfId="322" xr:uid="{00000000-0005-0000-0000-000072010000}"/>
    <cellStyle name="Milliers [0]_!!!GO" xfId="324" xr:uid="{00000000-0005-0000-0000-000074010000}"/>
    <cellStyle name="Milliers_!!!GO" xfId="235" xr:uid="{00000000-0005-0000-0000-00001B010000}"/>
    <cellStyle name="Moneda [0]_96 Risk" xfId="325" xr:uid="{00000000-0005-0000-0000-000075010000}"/>
    <cellStyle name="Moneda_96 Risk" xfId="328" xr:uid="{00000000-0005-0000-0000-000078010000}"/>
    <cellStyle name="Mon閠aire [0]_!!!GO" xfId="240" xr:uid="{00000000-0005-0000-0000-000020010000}"/>
    <cellStyle name="Mon閠aire_!!!GO" xfId="131" xr:uid="{00000000-0005-0000-0000-0000B3000000}"/>
    <cellStyle name="MS Sans Serif" xfId="8" xr:uid="{00000000-0005-0000-0000-00000E000000}"/>
    <cellStyle name="Neutral" xfId="213" xr:uid="{00000000-0005-0000-0000-000005010000}"/>
    <cellStyle name="New Times Roman" xfId="329" xr:uid="{00000000-0005-0000-0000-000079010000}"/>
    <cellStyle name="no dec" xfId="330" xr:uid="{00000000-0005-0000-0000-00007A010000}"/>
    <cellStyle name="Non défini" xfId="331" xr:uid="{00000000-0005-0000-0000-00007B010000}"/>
    <cellStyle name="Norma,_laroux_4_营业在建 (2)_E21" xfId="332" xr:uid="{00000000-0005-0000-0000-00007C010000}"/>
    <cellStyle name="Normal - Style1" xfId="133" xr:uid="{00000000-0005-0000-0000-0000B5000000}"/>
    <cellStyle name="Normal_!!!GO" xfId="334" xr:uid="{00000000-0005-0000-0000-00007E010000}"/>
    <cellStyle name="Note" xfId="335" xr:uid="{00000000-0005-0000-0000-00007F010000}"/>
    <cellStyle name="Output" xfId="336" xr:uid="{00000000-0005-0000-0000-000080010000}"/>
    <cellStyle name="per.style" xfId="191" xr:uid="{00000000-0005-0000-0000-0000EF000000}"/>
    <cellStyle name="Percent [2]" xfId="337" xr:uid="{00000000-0005-0000-0000-000081010000}"/>
    <cellStyle name="Percent_!!!GO" xfId="338" xr:uid="{00000000-0005-0000-0000-000082010000}"/>
    <cellStyle name="Pourcentage_pldt" xfId="341" xr:uid="{00000000-0005-0000-0000-000085010000}"/>
    <cellStyle name="PSChar" xfId="56" xr:uid="{00000000-0005-0000-0000-000060000000}"/>
    <cellStyle name="PSDate" xfId="343" xr:uid="{00000000-0005-0000-0000-000087010000}"/>
    <cellStyle name="PSDec" xfId="344" xr:uid="{00000000-0005-0000-0000-000088010000}"/>
    <cellStyle name="PSHeading" xfId="269" xr:uid="{00000000-0005-0000-0000-00003D010000}"/>
    <cellStyle name="PSInt" xfId="187" xr:uid="{00000000-0005-0000-0000-0000EB000000}"/>
    <cellStyle name="PSSpacer" xfId="348" xr:uid="{00000000-0005-0000-0000-00008C010000}"/>
    <cellStyle name="Red" xfId="349" xr:uid="{00000000-0005-0000-0000-00008D010000}"/>
    <cellStyle name="RowLevel_0" xfId="350" xr:uid="{00000000-0005-0000-0000-00008E010000}"/>
    <cellStyle name="sstot" xfId="352" xr:uid="{00000000-0005-0000-0000-000090010000}"/>
    <cellStyle name="Standard_AREAS" xfId="353" xr:uid="{00000000-0005-0000-0000-000091010000}"/>
    <cellStyle name="t" xfId="200" xr:uid="{00000000-0005-0000-0000-0000F8000000}"/>
    <cellStyle name="t_HVAC Equipment (3)" xfId="354" xr:uid="{00000000-0005-0000-0000-000092010000}"/>
    <cellStyle name="Title" xfId="356" xr:uid="{00000000-0005-0000-0000-000094010000}"/>
    <cellStyle name="Total" xfId="358" xr:uid="{00000000-0005-0000-0000-000096010000}"/>
    <cellStyle name="Tusental (0)_pldt" xfId="360" xr:uid="{00000000-0005-0000-0000-000098010000}"/>
    <cellStyle name="Tusental_pldt" xfId="363" xr:uid="{00000000-0005-0000-0000-00009B010000}"/>
    <cellStyle name="Valuta (0)_pldt" xfId="364" xr:uid="{00000000-0005-0000-0000-00009C010000}"/>
    <cellStyle name="Valuta_pldt" xfId="321" xr:uid="{00000000-0005-0000-0000-000071010000}"/>
    <cellStyle name="Warning Text" xfId="366" xr:uid="{00000000-0005-0000-0000-00009E010000}"/>
    <cellStyle name="Y" xfId="280" xr:uid="{00000000-0005-0000-0000-000048010000}"/>
    <cellStyle name="百分比 2" xfId="165" xr:uid="{00000000-0005-0000-0000-0000D5000000}"/>
    <cellStyle name="百分比 3" xfId="367" xr:uid="{00000000-0005-0000-0000-00009F010000}"/>
    <cellStyle name="百分比 4" xfId="35" xr:uid="{00000000-0005-0000-0000-000036000000}"/>
    <cellStyle name="捠壿 [0.00]_Region Orders (2)" xfId="251" xr:uid="{00000000-0005-0000-0000-00002B010000}"/>
    <cellStyle name="捠壿_Region Orders (2)" xfId="369" xr:uid="{00000000-0005-0000-0000-0000A1010000}"/>
    <cellStyle name="编号" xfId="371" xr:uid="{00000000-0005-0000-0000-0000A3010000}"/>
    <cellStyle name="标题 1 2" xfId="372" xr:uid="{00000000-0005-0000-0000-0000A4010000}"/>
    <cellStyle name="标题 2 2" xfId="303" xr:uid="{00000000-0005-0000-0000-00005F010000}"/>
    <cellStyle name="标题 3 2" xfId="373" xr:uid="{00000000-0005-0000-0000-0000A5010000}"/>
    <cellStyle name="标题 4 2" xfId="376" xr:uid="{00000000-0005-0000-0000-0000A8010000}"/>
    <cellStyle name="标题 5" xfId="340" xr:uid="{00000000-0005-0000-0000-000084010000}"/>
    <cellStyle name="标题1" xfId="377" xr:uid="{00000000-0005-0000-0000-0000A9010000}"/>
    <cellStyle name="表标题" xfId="382" xr:uid="{00000000-0005-0000-0000-0000AE010000}"/>
    <cellStyle name="部门" xfId="179" xr:uid="{00000000-0005-0000-0000-0000E3000000}"/>
    <cellStyle name="差 2" xfId="383" xr:uid="{00000000-0005-0000-0000-0000AF010000}"/>
    <cellStyle name="差_~4190974" xfId="390" xr:uid="{00000000-0005-0000-0000-0000B6010000}"/>
    <cellStyle name="差_~4190974_Book1" xfId="391" xr:uid="{00000000-0005-0000-0000-0000B7010000}"/>
    <cellStyle name="差_~5676413" xfId="393" xr:uid="{00000000-0005-0000-0000-0000B9010000}"/>
    <cellStyle name="差_~5676413_Book1" xfId="394" xr:uid="{00000000-0005-0000-0000-0000BA010000}"/>
    <cellStyle name="差_00省级(打印)" xfId="345" xr:uid="{00000000-0005-0000-0000-000089010000}"/>
    <cellStyle name="差_00省级(打印)_Book1" xfId="396" xr:uid="{00000000-0005-0000-0000-0000BC010000}"/>
    <cellStyle name="差_00省级(定稿)" xfId="397" xr:uid="{00000000-0005-0000-0000-0000BD010000}"/>
    <cellStyle name="差_00省级(定稿)_Book1" xfId="398" xr:uid="{00000000-0005-0000-0000-0000BE010000}"/>
    <cellStyle name="差_03昭通" xfId="172" xr:uid="{00000000-0005-0000-0000-0000DC000000}"/>
    <cellStyle name="差_03昭通_Book1" xfId="399" xr:uid="{00000000-0005-0000-0000-0000BF010000}"/>
    <cellStyle name="差_0502通海县" xfId="401" xr:uid="{00000000-0005-0000-0000-0000C1010000}"/>
    <cellStyle name="差_0502通海县_Book1" xfId="402" xr:uid="{00000000-0005-0000-0000-0000C2010000}"/>
    <cellStyle name="差_05玉溪" xfId="403" xr:uid="{00000000-0005-0000-0000-0000C3010000}"/>
    <cellStyle name="差_05玉溪_Book1" xfId="405" xr:uid="{00000000-0005-0000-0000-0000C5010000}"/>
    <cellStyle name="差_0605石屏县" xfId="107" xr:uid="{00000000-0005-0000-0000-00009B000000}"/>
    <cellStyle name="差_0605石屏县_Book1" xfId="43" xr:uid="{00000000-0005-0000-0000-000044000000}"/>
    <cellStyle name="差_1003牟定县" xfId="407" xr:uid="{00000000-0005-0000-0000-0000C7010000}"/>
    <cellStyle name="差_1110洱源县" xfId="293" xr:uid="{00000000-0005-0000-0000-000055010000}"/>
    <cellStyle name="差_1110洱源县_Book1" xfId="408" xr:uid="{00000000-0005-0000-0000-0000C8010000}"/>
    <cellStyle name="差_11大理" xfId="409" xr:uid="{00000000-0005-0000-0000-0000C9010000}"/>
    <cellStyle name="差_11大理_Book1" xfId="291" xr:uid="{00000000-0005-0000-0000-000053010000}"/>
    <cellStyle name="差_2、土地面积、人口、粮食产量基本情况" xfId="410" xr:uid="{00000000-0005-0000-0000-0000CA010000}"/>
    <cellStyle name="差_2、土地面积、人口、粮食产量基本情况_Book1" xfId="413" xr:uid="{00000000-0005-0000-0000-0000CD010000}"/>
    <cellStyle name="差_2006年分析表" xfId="23" xr:uid="{00000000-0005-0000-0000-000026000000}"/>
    <cellStyle name="差_2006年分析表_Book1" xfId="416" xr:uid="{00000000-0005-0000-0000-0000D0010000}"/>
    <cellStyle name="差_2006年基础数据" xfId="226" xr:uid="{00000000-0005-0000-0000-000012010000}"/>
    <cellStyle name="差_2006年基础数据_Book1" xfId="101" xr:uid="{00000000-0005-0000-0000-000095000000}"/>
    <cellStyle name="差_2006年全省财力计算表（中央、决算）" xfId="61" xr:uid="{00000000-0005-0000-0000-00006A000000}"/>
    <cellStyle name="差_2006年全省财力计算表（中央、决算）_Book1" xfId="417" xr:uid="{00000000-0005-0000-0000-0000D1010000}"/>
    <cellStyle name="差_2006年水利统计指标统计表" xfId="418" xr:uid="{00000000-0005-0000-0000-0000D2010000}"/>
    <cellStyle name="差_2006年水利统计指标统计表_Book1" xfId="419" xr:uid="{00000000-0005-0000-0000-0000D3010000}"/>
    <cellStyle name="差_2006年在职人员情况" xfId="420" xr:uid="{00000000-0005-0000-0000-0000D4010000}"/>
    <cellStyle name="差_2006年在职人员情况_Book1" xfId="203" xr:uid="{00000000-0005-0000-0000-0000FB000000}"/>
    <cellStyle name="差_2007年检察院案件数" xfId="233" xr:uid="{00000000-0005-0000-0000-000019010000}"/>
    <cellStyle name="差_2007年检察院案件数_Book1" xfId="245" xr:uid="{00000000-0005-0000-0000-000025010000}"/>
    <cellStyle name="差_2007年可用财力" xfId="424" xr:uid="{00000000-0005-0000-0000-0000D8010000}"/>
    <cellStyle name="差_2007年可用财力_Book1" xfId="427" xr:uid="{00000000-0005-0000-0000-0000DB010000}"/>
    <cellStyle name="差_2007年人员分部门统计表" xfId="429" xr:uid="{00000000-0005-0000-0000-0000DD010000}"/>
    <cellStyle name="差_2007年人员分部门统计表_Book1" xfId="236" xr:uid="{00000000-0005-0000-0000-00001C010000}"/>
    <cellStyle name="差_2007年政法部门业务指标" xfId="21" xr:uid="{00000000-0005-0000-0000-000024000000}"/>
    <cellStyle name="差_2007年政法部门业务指标_Book1" xfId="414" xr:uid="{00000000-0005-0000-0000-0000CE010000}"/>
    <cellStyle name="差_2008年县级公安保障标准落实奖励经费分配测算" xfId="351" xr:uid="{00000000-0005-0000-0000-00008F010000}"/>
    <cellStyle name="差_2008年县级公安保障标准落实奖励经费分配测算_Book1" xfId="430" xr:uid="{00000000-0005-0000-0000-0000DE010000}"/>
    <cellStyle name="差_2008云南省分县市中小学教职工统计表（教育厅提供）" xfId="431" xr:uid="{00000000-0005-0000-0000-0000DF010000}"/>
    <cellStyle name="差_2008云南省分县市中小学教职工统计表（教育厅提供）_Book1" xfId="357" xr:uid="{00000000-0005-0000-0000-000095010000}"/>
    <cellStyle name="差_2009年一般性转移支付标准工资" xfId="432" xr:uid="{00000000-0005-0000-0000-0000E0010000}"/>
    <cellStyle name="差_2009年一般性转移支付标准工资_~4190974" xfId="433" xr:uid="{00000000-0005-0000-0000-0000E1010000}"/>
    <cellStyle name="差_2009年一般性转移支付标准工资_~4190974_Book1" xfId="42" xr:uid="{00000000-0005-0000-0000-000042000000}"/>
    <cellStyle name="差_2009年一般性转移支付标准工资_~5676413" xfId="176" xr:uid="{00000000-0005-0000-0000-0000E0000000}"/>
    <cellStyle name="差_2009年一般性转移支付标准工资_~5676413_Book1" xfId="436" xr:uid="{00000000-0005-0000-0000-0000E4010000}"/>
    <cellStyle name="差_2009年一般性转移支付标准工资_Book1" xfId="438" xr:uid="{00000000-0005-0000-0000-0000E6010000}"/>
    <cellStyle name="差_2009年一般性转移支付标准工资_不用软件计算9.1不考虑经费管理评价xl" xfId="440" xr:uid="{00000000-0005-0000-0000-0000E8010000}"/>
    <cellStyle name="差_2009年一般性转移支付标准工资_不用软件计算9.1不考虑经费管理评价xl_Book1" xfId="441" xr:uid="{00000000-0005-0000-0000-0000E9010000}"/>
    <cellStyle name="差_2009年一般性转移支付标准工资_地方配套按人均增幅控制8.30xl" xfId="444" xr:uid="{00000000-0005-0000-0000-0000EC010000}"/>
    <cellStyle name="差_2009年一般性转移支付标准工资_地方配套按人均增幅控制8.30xl_Book1" xfId="447" xr:uid="{00000000-0005-0000-0000-0000EF010000}"/>
    <cellStyle name="差_2009年一般性转移支付标准工资_地方配套按人均增幅控制8.30一般预算平均增幅、人均可用财力平均增幅两次控制、社会治安系数调整、案件数调整xl" xfId="450" xr:uid="{00000000-0005-0000-0000-0000F2010000}"/>
    <cellStyle name="差_2009年一般性转移支付标准工资_地方配套按人均增幅控制8.30一般预算平均增幅、人均可用财力平均增幅两次控制、社会治安系数调整、案件数调整xl_Book1" xfId="31" xr:uid="{00000000-0005-0000-0000-000030000000}"/>
    <cellStyle name="差_2009年一般性转移支付标准工资_地方配套按人均增幅控制8.31（调整结案率后）xl" xfId="451" xr:uid="{00000000-0005-0000-0000-0000F3010000}"/>
    <cellStyle name="差_2009年一般性转移支付标准工资_地方配套按人均增幅控制8.31（调整结案率后）xl_Book1" xfId="411" xr:uid="{00000000-0005-0000-0000-0000CB010000}"/>
    <cellStyle name="差_2009年一般性转移支付标准工资_奖励补助测算5.22测试" xfId="14" xr:uid="{00000000-0005-0000-0000-000018000000}"/>
    <cellStyle name="差_2009年一般性转移支付标准工资_奖励补助测算5.22测试_Book1" xfId="308" xr:uid="{00000000-0005-0000-0000-000064010000}"/>
    <cellStyle name="差_2009年一般性转移支付标准工资_奖励补助测算5.23新" xfId="452" xr:uid="{00000000-0005-0000-0000-0000F4010000}"/>
    <cellStyle name="差_2009年一般性转移支付标准工资_奖励补助测算5.23新_Book1" xfId="453" xr:uid="{00000000-0005-0000-0000-0000F5010000}"/>
    <cellStyle name="差_2009年一般性转移支付标准工资_奖励补助测算5.24冯铸" xfId="454" xr:uid="{00000000-0005-0000-0000-0000F6010000}"/>
    <cellStyle name="差_2009年一般性转移支付标准工资_奖励补助测算5.24冯铸_Book1" xfId="384" xr:uid="{00000000-0005-0000-0000-0000B0010000}"/>
    <cellStyle name="差_2009年一般性转移支付标准工资_奖励补助测算7.23" xfId="327" xr:uid="{00000000-0005-0000-0000-000077010000}"/>
    <cellStyle name="差_2009年一般性转移支付标准工资_奖励补助测算7.23_Book1" xfId="54" xr:uid="{00000000-0005-0000-0000-000058000000}"/>
    <cellStyle name="差_2009年一般性转移支付标准工资_奖励补助测算7.25" xfId="457" xr:uid="{00000000-0005-0000-0000-0000F9010000}"/>
    <cellStyle name="差_2009年一般性转移支付标准工资_奖励补助测算7.25 (version 1) (version 1)" xfId="459" xr:uid="{00000000-0005-0000-0000-0000FB010000}"/>
    <cellStyle name="差_2009年一般性转移支付标准工资_奖励补助测算7.25 (version 1) (version 1)_Book1" xfId="460" xr:uid="{00000000-0005-0000-0000-0000FC010000}"/>
    <cellStyle name="差_2009年一般性转移支付标准工资_奖励补助测算7.25_Book1" xfId="463" xr:uid="{00000000-0005-0000-0000-0000FF010000}"/>
    <cellStyle name="差_2012年资金渠道安排建议" xfId="464" xr:uid="{00000000-0005-0000-0000-000000020000}"/>
    <cellStyle name="差_530623_2006年县级财政报表附表" xfId="270" xr:uid="{00000000-0005-0000-0000-00003E010000}"/>
    <cellStyle name="差_530623_2006年县级财政报表附表_Book1" xfId="465" xr:uid="{00000000-0005-0000-0000-000001020000}"/>
    <cellStyle name="差_530629_2006年县级财政报表附表" xfId="466" xr:uid="{00000000-0005-0000-0000-000002020000}"/>
    <cellStyle name="差_530629_2006年县级财政报表附表_Book1" xfId="138" xr:uid="{00000000-0005-0000-0000-0000BA000000}"/>
    <cellStyle name="差_5334_2006年迪庆县级财政报表附表" xfId="467" xr:uid="{00000000-0005-0000-0000-000003020000}"/>
    <cellStyle name="差_5334_2006年迪庆县级财政报表附表_Book1" xfId="468" xr:uid="{00000000-0005-0000-0000-000004020000}"/>
    <cellStyle name="差_Book1" xfId="470" xr:uid="{00000000-0005-0000-0000-000006020000}"/>
    <cellStyle name="差_Book1_1" xfId="85" xr:uid="{00000000-0005-0000-0000-000085000000}"/>
    <cellStyle name="差_Book1_1_Book1" xfId="472" xr:uid="{00000000-0005-0000-0000-000008020000}"/>
    <cellStyle name="差_Book1_2" xfId="474" xr:uid="{00000000-0005-0000-0000-00000A020000}"/>
    <cellStyle name="差_Book1_2_Book1" xfId="104" xr:uid="{00000000-0005-0000-0000-000098000000}"/>
    <cellStyle name="差_Book1_3" xfId="475" xr:uid="{00000000-0005-0000-0000-00000B020000}"/>
    <cellStyle name="差_Book1_县公司" xfId="437" xr:uid="{00000000-0005-0000-0000-0000E5010000}"/>
    <cellStyle name="差_Book1_县公司_Book1" xfId="477" xr:uid="{00000000-0005-0000-0000-00000D020000}"/>
    <cellStyle name="差_Book1_银行账户情况表_2010年12月" xfId="169" xr:uid="{00000000-0005-0000-0000-0000D9000000}"/>
    <cellStyle name="差_Book1_银行账户情况表_2010年12月_Book1" xfId="154" xr:uid="{00000000-0005-0000-0000-0000CA000000}"/>
    <cellStyle name="差_Book2" xfId="50" xr:uid="{00000000-0005-0000-0000-000050000000}"/>
    <cellStyle name="差_Book2_Book1" xfId="478" xr:uid="{00000000-0005-0000-0000-00000E020000}"/>
    <cellStyle name="差_M01-2(州市补助收入)" xfId="479" xr:uid="{00000000-0005-0000-0000-00000F020000}"/>
    <cellStyle name="差_M01-2(州市补助收入)_Book1" xfId="480" xr:uid="{00000000-0005-0000-0000-000010020000}"/>
    <cellStyle name="差_M03" xfId="481" xr:uid="{00000000-0005-0000-0000-000011020000}"/>
    <cellStyle name="差_M03_Book1" xfId="483" xr:uid="{00000000-0005-0000-0000-000013020000}"/>
    <cellStyle name="差_不用软件计算9.1不考虑经费管理评价xl" xfId="485" xr:uid="{00000000-0005-0000-0000-000015020000}"/>
    <cellStyle name="差_不用软件计算9.1不考虑经费管理评价xl_Book1" xfId="487" xr:uid="{00000000-0005-0000-0000-000017020000}"/>
    <cellStyle name="差_财政供养人员" xfId="400" xr:uid="{00000000-0005-0000-0000-0000C0010000}"/>
    <cellStyle name="差_财政供养人员_Book1" xfId="255" xr:uid="{00000000-0005-0000-0000-00002F010000}"/>
    <cellStyle name="差_财政支出对上级的依赖程度" xfId="72" xr:uid="{00000000-0005-0000-0000-000078000000}"/>
    <cellStyle name="差_财政支出对上级的依赖程度_Book1" xfId="93" xr:uid="{00000000-0005-0000-0000-00008D000000}"/>
    <cellStyle name="差_城建部门" xfId="488" xr:uid="{00000000-0005-0000-0000-000018020000}"/>
    <cellStyle name="差_城建部门_Book1" xfId="359" xr:uid="{00000000-0005-0000-0000-000097010000}"/>
    <cellStyle name="差_地方配套按人均增幅控制8.30xl" xfId="471" xr:uid="{00000000-0005-0000-0000-000007020000}"/>
    <cellStyle name="差_地方配套按人均增幅控制8.30xl_Book1" xfId="5" xr:uid="{00000000-0005-0000-0000-000009000000}"/>
    <cellStyle name="差_地方配套按人均增幅控制8.30一般预算平均增幅、人均可用财力平均增幅两次控制、社会治安系数调整、案件数调整xl" xfId="489" xr:uid="{00000000-0005-0000-0000-000019020000}"/>
    <cellStyle name="差_地方配套按人均增幅控制8.30一般预算平均增幅、人均可用财力平均增幅两次控制、社会治安系数调整、案件数调整xl_Book1" xfId="490" xr:uid="{00000000-0005-0000-0000-00001A020000}"/>
    <cellStyle name="差_地方配套按人均增幅控制8.31（调整结案率后）xl" xfId="311" xr:uid="{00000000-0005-0000-0000-000067010000}"/>
    <cellStyle name="差_地方配套按人均增幅控制8.31（调整结案率后）xl_Book1" xfId="491" xr:uid="{00000000-0005-0000-0000-00001B020000}"/>
    <cellStyle name="差_第五部分(才淼、饶永宏）" xfId="493" xr:uid="{00000000-0005-0000-0000-00001D020000}"/>
    <cellStyle name="差_第五部分(才淼、饶永宏）_Book1" xfId="428" xr:uid="{00000000-0005-0000-0000-0000DC010000}"/>
    <cellStyle name="差_第一部分：综合全" xfId="140" xr:uid="{00000000-0005-0000-0000-0000BC000000}"/>
    <cellStyle name="差_第一部分：综合全_Book1" xfId="222" xr:uid="{00000000-0005-0000-0000-00000E010000}"/>
    <cellStyle name="差_高中教师人数（教育厅1.6日提供）" xfId="495" xr:uid="{00000000-0005-0000-0000-00001F020000}"/>
    <cellStyle name="差_高中教师人数（教育厅1.6日提供）_Book1" xfId="497" xr:uid="{00000000-0005-0000-0000-000021020000}"/>
    <cellStyle name="差_汉阳水务局项目(1)" xfId="58" xr:uid="{00000000-0005-0000-0000-000064000000}"/>
    <cellStyle name="差_汇总" xfId="499" xr:uid="{00000000-0005-0000-0000-000023020000}"/>
    <cellStyle name="差_汇总_Book1" xfId="501" xr:uid="{00000000-0005-0000-0000-000025020000}"/>
    <cellStyle name="差_汇总-县级财政报表附表" xfId="502" xr:uid="{00000000-0005-0000-0000-000026020000}"/>
    <cellStyle name="差_汇总-县级财政报表附表_Book1" xfId="361" xr:uid="{00000000-0005-0000-0000-000099010000}"/>
    <cellStyle name="差_基础数据分析" xfId="505" xr:uid="{00000000-0005-0000-0000-000029020000}"/>
    <cellStyle name="差_基础数据分析_Book1" xfId="511" xr:uid="{00000000-0005-0000-0000-00002F020000}"/>
    <cellStyle name="差_检验表" xfId="513" xr:uid="{00000000-0005-0000-0000-000031020000}"/>
    <cellStyle name="差_检验表（调整后）" xfId="514" xr:uid="{00000000-0005-0000-0000-000032020000}"/>
    <cellStyle name="差_检验表（调整后）_Book1" xfId="19" xr:uid="{00000000-0005-0000-0000-000020000000}"/>
    <cellStyle name="差_检验表_Book1" xfId="515" xr:uid="{00000000-0005-0000-0000-000033020000}"/>
    <cellStyle name="差_建行" xfId="494" xr:uid="{00000000-0005-0000-0000-00001E020000}"/>
    <cellStyle name="差_建行_Book1" xfId="496" xr:uid="{00000000-0005-0000-0000-000020020000}"/>
    <cellStyle name="差_奖励补助测算5.22测试" xfId="32" xr:uid="{00000000-0005-0000-0000-000031000000}"/>
    <cellStyle name="差_奖励补助测算5.22测试_Book1" xfId="159" xr:uid="{00000000-0005-0000-0000-0000CF000000}"/>
    <cellStyle name="差_奖励补助测算5.23新" xfId="13" xr:uid="{00000000-0005-0000-0000-000016000000}"/>
    <cellStyle name="差_奖励补助测算5.23新_Book1" xfId="516" xr:uid="{00000000-0005-0000-0000-000034020000}"/>
    <cellStyle name="差_奖励补助测算5.24冯铸" xfId="119" xr:uid="{00000000-0005-0000-0000-0000A7000000}"/>
    <cellStyle name="差_奖励补助测算5.24冯铸_Book1" xfId="476" xr:uid="{00000000-0005-0000-0000-00000C020000}"/>
    <cellStyle name="差_奖励补助测算7.23" xfId="517" xr:uid="{00000000-0005-0000-0000-000035020000}"/>
    <cellStyle name="差_奖励补助测算7.23_Book1" xfId="458" xr:uid="{00000000-0005-0000-0000-0000FA010000}"/>
    <cellStyle name="差_奖励补助测算7.25" xfId="323" xr:uid="{00000000-0005-0000-0000-000073010000}"/>
    <cellStyle name="差_奖励补助测算7.25 (version 1) (version 1)" xfId="94" xr:uid="{00000000-0005-0000-0000-00008E000000}"/>
    <cellStyle name="差_奖励补助测算7.25 (version 1) (version 1)_Book1" xfId="380" xr:uid="{00000000-0005-0000-0000-0000AC010000}"/>
    <cellStyle name="差_奖励补助测算7.25_Book1" xfId="254" xr:uid="{00000000-0005-0000-0000-00002E010000}"/>
    <cellStyle name="差_教师绩效工资测算表（离退休按各地上报数测算）2009年1月1日" xfId="22" xr:uid="{00000000-0005-0000-0000-000025000000}"/>
    <cellStyle name="差_教师绩效工资测算表（离退休按各地上报数测算）2009年1月1日_Book1" xfId="415" xr:uid="{00000000-0005-0000-0000-0000CF010000}"/>
    <cellStyle name="差_教育厅提供义务教育及高中教师人数（2009年1月6日）" xfId="49" xr:uid="{00000000-0005-0000-0000-00004E000000}"/>
    <cellStyle name="差_教育厅提供义务教育及高中教师人数（2009年1月6日）_Book1" xfId="518" xr:uid="{00000000-0005-0000-0000-000036020000}"/>
    <cellStyle name="差_历年教师人数" xfId="395" xr:uid="{00000000-0005-0000-0000-0000BB010000}"/>
    <cellStyle name="差_历年教师人数_Book1" xfId="519" xr:uid="{00000000-0005-0000-0000-000037020000}"/>
    <cellStyle name="差_丽江汇总" xfId="381" xr:uid="{00000000-0005-0000-0000-0000AD010000}"/>
    <cellStyle name="差_丽江汇总_Book1" xfId="520" xr:uid="{00000000-0005-0000-0000-000038020000}"/>
    <cellStyle name="差_面积测算-商业-工业" xfId="388" xr:uid="{00000000-0005-0000-0000-0000B4010000}"/>
    <cellStyle name="差_面积测算-商业-工业1" xfId="522" xr:uid="{00000000-0005-0000-0000-00003A020000}"/>
    <cellStyle name="差_面积校核计算表-" xfId="261" xr:uid="{00000000-0005-0000-0000-000035010000}"/>
    <cellStyle name="差_三季度－表二" xfId="523" xr:uid="{00000000-0005-0000-0000-00003B020000}"/>
    <cellStyle name="差_三季度－表二_Book1" xfId="55" xr:uid="{00000000-0005-0000-0000-00005C000000}"/>
    <cellStyle name="差_卫生部门" xfId="524" xr:uid="{00000000-0005-0000-0000-00003C020000}"/>
    <cellStyle name="差_卫生部门_Book1" xfId="422" xr:uid="{00000000-0005-0000-0000-0000D6010000}"/>
    <cellStyle name="差_文体广播部门" xfId="526" xr:uid="{00000000-0005-0000-0000-00003E020000}"/>
    <cellStyle name="差_文体广播部门_Book1" xfId="530" xr:uid="{00000000-0005-0000-0000-000042020000}"/>
    <cellStyle name="差_下半年禁毒办案经费分配2544.3万元" xfId="531" xr:uid="{00000000-0005-0000-0000-000043020000}"/>
    <cellStyle name="差_下半年禁毒办案经费分配2544.3万元_Book1" xfId="67" xr:uid="{00000000-0005-0000-0000-000072000000}"/>
    <cellStyle name="差_下半年禁吸戒毒经费1000万元" xfId="435" xr:uid="{00000000-0005-0000-0000-0000E3010000}"/>
    <cellStyle name="差_下半年禁吸戒毒经费1000万元_Book1" xfId="41" xr:uid="{00000000-0005-0000-0000-000041000000}"/>
    <cellStyle name="差_县公司" xfId="111" xr:uid="{00000000-0005-0000-0000-00009F000000}"/>
    <cellStyle name="差_县公司_Book1" xfId="62" xr:uid="{00000000-0005-0000-0000-00006C000000}"/>
    <cellStyle name="差_县级公安机关公用经费标准奖励测算方案（定稿）" xfId="527" xr:uid="{00000000-0005-0000-0000-00003F020000}"/>
    <cellStyle name="差_县级公安机关公用经费标准奖励测算方案（定稿）_Book1" xfId="533" xr:uid="{00000000-0005-0000-0000-000045020000}"/>
    <cellStyle name="差_县级基础数据" xfId="326" xr:uid="{00000000-0005-0000-0000-000076010000}"/>
    <cellStyle name="差_县级基础数据_Book1" xfId="534" xr:uid="{00000000-0005-0000-0000-000046020000}"/>
    <cellStyle name="差_业务工作量指标" xfId="423" xr:uid="{00000000-0005-0000-0000-0000D7010000}"/>
    <cellStyle name="差_业务工作量指标_Book1" xfId="426" xr:uid="{00000000-0005-0000-0000-0000DA010000}"/>
    <cellStyle name="差_义务教育阶段教职工人数（教育厅提供最终）" xfId="456" xr:uid="{00000000-0005-0000-0000-0000F8010000}"/>
    <cellStyle name="差_义务教育阶段教职工人数（教育厅提供最终）_Book1" xfId="386" xr:uid="{00000000-0005-0000-0000-0000B2010000}"/>
    <cellStyle name="差_银行账户情况表_2010年12月" xfId="537" xr:uid="{00000000-0005-0000-0000-000049020000}"/>
    <cellStyle name="差_银行账户情况表_2010年12月_Book1" xfId="148" xr:uid="{00000000-0005-0000-0000-0000C4000000}"/>
    <cellStyle name="差_云南农村义务教育统计表" xfId="192" xr:uid="{00000000-0005-0000-0000-0000F0000000}"/>
    <cellStyle name="差_云南农村义务教育统计表_Book1" xfId="434" xr:uid="{00000000-0005-0000-0000-0000E2010000}"/>
    <cellStyle name="差_云南省2008年中小学教师人数统计表" xfId="455" xr:uid="{00000000-0005-0000-0000-0000F7010000}"/>
    <cellStyle name="差_云南省2008年中小学教师人数统计表_Book1" xfId="385" xr:uid="{00000000-0005-0000-0000-0000B1010000}"/>
    <cellStyle name="差_云南省2008年中小学教职工情况（教育厅提供20090101加工整理）" xfId="288" xr:uid="{00000000-0005-0000-0000-000050010000}"/>
    <cellStyle name="差_云南省2008年中小学教职工情况（教育厅提供20090101加工整理）_Book1" xfId="278" xr:uid="{00000000-0005-0000-0000-000046010000}"/>
    <cellStyle name="差_云南省2008年转移支付测算——州市本级考核部分及政策性测算" xfId="539" xr:uid="{00000000-0005-0000-0000-00004B020000}"/>
    <cellStyle name="差_云南省2008年转移支付测算——州市本级考核部分及政策性测算_Book1" xfId="302" xr:uid="{00000000-0005-0000-0000-00005E010000}"/>
    <cellStyle name="差_云南水利电力有限公司" xfId="540" xr:uid="{00000000-0005-0000-0000-00004C020000}"/>
    <cellStyle name="差_云南水利电力有限公司_Book1" xfId="541" xr:uid="{00000000-0005-0000-0000-00004D020000}"/>
    <cellStyle name="差_指标四" xfId="162" xr:uid="{00000000-0005-0000-0000-0000D2000000}"/>
    <cellStyle name="差_指标四_Book1" xfId="69" xr:uid="{00000000-0005-0000-0000-000075000000}"/>
    <cellStyle name="差_指标五" xfId="26" xr:uid="{00000000-0005-0000-0000-00002A000000}"/>
    <cellStyle name="差_指标五_Book1" xfId="543" xr:uid="{00000000-0005-0000-0000-00004F020000}"/>
    <cellStyle name="常规" xfId="0" builtinId="0"/>
    <cellStyle name="常规 2" xfId="355" xr:uid="{00000000-0005-0000-0000-000093010000}"/>
    <cellStyle name="常规 2 2" xfId="180" xr:uid="{00000000-0005-0000-0000-0000E4000000}"/>
    <cellStyle name="常规 2 2 2" xfId="544" xr:uid="{00000000-0005-0000-0000-000050020000}"/>
    <cellStyle name="常规 2 2_2012年资金渠道安排建议" xfId="500" xr:uid="{00000000-0005-0000-0000-000024020000}"/>
    <cellStyle name="常规 2 3" xfId="184" xr:uid="{00000000-0005-0000-0000-0000E8000000}"/>
    <cellStyle name="常规 2 4" xfId="188" xr:uid="{00000000-0005-0000-0000-0000EC000000}"/>
    <cellStyle name="常规 2 5" xfId="193" xr:uid="{00000000-0005-0000-0000-0000F1000000}"/>
    <cellStyle name="常规 2 6" xfId="196" xr:uid="{00000000-0005-0000-0000-0000F4000000}"/>
    <cellStyle name="常规 2 7" xfId="545" xr:uid="{00000000-0005-0000-0000-000051020000}"/>
    <cellStyle name="常规 2 8" xfId="548" xr:uid="{00000000-0005-0000-0000-000054020000}"/>
    <cellStyle name="常规 2 9" xfId="392" xr:uid="{00000000-0005-0000-0000-0000B8010000}"/>
    <cellStyle name="常规 2 9 2" xfId="185" xr:uid="{00000000-0005-0000-0000-0000E9000000}"/>
    <cellStyle name="常规 2_02-2008决算报表格式" xfId="314" xr:uid="{00000000-0005-0000-0000-00006A010000}"/>
    <cellStyle name="常规 3" xfId="128" xr:uid="{00000000-0005-0000-0000-0000B0000000}"/>
    <cellStyle name="常规 4" xfId="550" xr:uid="{00000000-0005-0000-0000-000056020000}"/>
    <cellStyle name="常规 5" xfId="208" xr:uid="{00000000-0005-0000-0000-000000010000}"/>
    <cellStyle name="常规 6" xfId="17" xr:uid="{00000000-0005-0000-0000-00001E000000}"/>
    <cellStyle name="常规 7" xfId="552" xr:uid="{00000000-0005-0000-0000-000058020000}"/>
    <cellStyle name="常规 8" xfId="215" xr:uid="{00000000-0005-0000-0000-000007010000}"/>
    <cellStyle name="常规 9" xfId="512" xr:uid="{00000000-0005-0000-0000-000030020000}"/>
    <cellStyle name="超级链接" xfId="439" xr:uid="{00000000-0005-0000-0000-0000E7010000}"/>
    <cellStyle name="酬" xfId="553" xr:uid="{00000000-0005-0000-0000-000059020000}"/>
    <cellStyle name="豟孥芘" xfId="461" xr:uid="{00000000-0005-0000-0000-0000FD010000}"/>
    <cellStyle name="分级显示列_1_Book1" xfId="284" xr:uid="{00000000-0005-0000-0000-00004C010000}"/>
    <cellStyle name="分级显示行_1_13区汇总" xfId="503" xr:uid="{00000000-0005-0000-0000-000027020000}"/>
    <cellStyle name="归盒啦_95" xfId="318" xr:uid="{00000000-0005-0000-0000-00006E010000}"/>
    <cellStyle name="好 2" xfId="554" xr:uid="{00000000-0005-0000-0000-00005A020000}"/>
    <cellStyle name="好_~4190974" xfId="555" xr:uid="{00000000-0005-0000-0000-00005B020000}"/>
    <cellStyle name="好_~4190974_Book1" xfId="557" xr:uid="{00000000-0005-0000-0000-00005D020000}"/>
    <cellStyle name="好_~5676413" xfId="508" xr:uid="{00000000-0005-0000-0000-00002C020000}"/>
    <cellStyle name="好_~5676413_Book1" xfId="66" xr:uid="{00000000-0005-0000-0000-000071000000}"/>
    <cellStyle name="好_00省级(打印)" xfId="378" xr:uid="{00000000-0005-0000-0000-0000AA010000}"/>
    <cellStyle name="好_00省级(打印)_Book1" xfId="24" xr:uid="{00000000-0005-0000-0000-000027000000}"/>
    <cellStyle name="好_00省级(定稿)" xfId="157" xr:uid="{00000000-0005-0000-0000-0000CD000000}"/>
    <cellStyle name="好_00省级(定稿)_Book1" xfId="560" xr:uid="{00000000-0005-0000-0000-000060020000}"/>
    <cellStyle name="好_03昭通" xfId="124" xr:uid="{00000000-0005-0000-0000-0000AC000000}"/>
    <cellStyle name="好_03昭通_Book1" xfId="562" xr:uid="{00000000-0005-0000-0000-000062020000}"/>
    <cellStyle name="好_0502通海县" xfId="241" xr:uid="{00000000-0005-0000-0000-000021010000}"/>
    <cellStyle name="好_0502通海县_Book1" xfId="443" xr:uid="{00000000-0005-0000-0000-0000EB010000}"/>
    <cellStyle name="好_05玉溪" xfId="3" xr:uid="{00000000-0005-0000-0000-000007000000}"/>
    <cellStyle name="好_05玉溪_Book1" xfId="282" xr:uid="{00000000-0005-0000-0000-00004A010000}"/>
    <cellStyle name="好_0605石屏县" xfId="99" xr:uid="{00000000-0005-0000-0000-000093000000}"/>
    <cellStyle name="好_0605石屏县_Book1" xfId="563" xr:uid="{00000000-0005-0000-0000-000063020000}"/>
    <cellStyle name="好_1003牟定县" xfId="10" xr:uid="{00000000-0005-0000-0000-000012000000}"/>
    <cellStyle name="好_1110洱源县" xfId="536" xr:uid="{00000000-0005-0000-0000-000048020000}"/>
    <cellStyle name="好_1110洱源县_Book1" xfId="146" xr:uid="{00000000-0005-0000-0000-0000C2000000}"/>
    <cellStyle name="好_11大理" xfId="82" xr:uid="{00000000-0005-0000-0000-000082000000}"/>
    <cellStyle name="好_11大理_Book1" xfId="53" xr:uid="{00000000-0005-0000-0000-000055000000}"/>
    <cellStyle name="好_2、土地面积、人口、粮食产量基本情况" xfId="564" xr:uid="{00000000-0005-0000-0000-000064020000}"/>
    <cellStyle name="好_2、土地面积、人口、粮食产量基本情况_Book1" xfId="565" xr:uid="{00000000-0005-0000-0000-000065020000}"/>
    <cellStyle name="好_2006年分析表" xfId="170" xr:uid="{00000000-0005-0000-0000-0000DA000000}"/>
    <cellStyle name="好_2006年分析表_Book1" xfId="155" xr:uid="{00000000-0005-0000-0000-0000CB000000}"/>
    <cellStyle name="好_2006年基础数据" xfId="566" xr:uid="{00000000-0005-0000-0000-000066020000}"/>
    <cellStyle name="好_2006年基础数据_Book1" xfId="568" xr:uid="{00000000-0005-0000-0000-000068020000}"/>
    <cellStyle name="好_2006年全省财力计算表（中央、决算）" xfId="569" xr:uid="{00000000-0005-0000-0000-000069020000}"/>
    <cellStyle name="好_2006年全省财力计算表（中央、决算）_Book1" xfId="570" xr:uid="{00000000-0005-0000-0000-00006A020000}"/>
    <cellStyle name="好_2006年水利统计指标统计表" xfId="572" xr:uid="{00000000-0005-0000-0000-00006C020000}"/>
    <cellStyle name="好_2006年水利统计指标统计表_Book1" xfId="549" xr:uid="{00000000-0005-0000-0000-000055020000}"/>
    <cellStyle name="好_2006年在职人员情况" xfId="404" xr:uid="{00000000-0005-0000-0000-0000C4010000}"/>
    <cellStyle name="好_2006年在职人员情况_Book1" xfId="239" xr:uid="{00000000-0005-0000-0000-00001F010000}"/>
    <cellStyle name="好_2007年检察院案件数" xfId="556" xr:uid="{00000000-0005-0000-0000-00005C020000}"/>
    <cellStyle name="好_2007年检察院案件数_Book1" xfId="558" xr:uid="{00000000-0005-0000-0000-00005E020000}"/>
    <cellStyle name="好_2007年可用财力" xfId="573" xr:uid="{00000000-0005-0000-0000-00006D020000}"/>
    <cellStyle name="好_2007年可用财力_Book1" xfId="538" xr:uid="{00000000-0005-0000-0000-00004A020000}"/>
    <cellStyle name="好_2007年人员分部门统计表" xfId="220" xr:uid="{00000000-0005-0000-0000-00000C010000}"/>
    <cellStyle name="好_2007年人员分部门统计表_Book1" xfId="448" xr:uid="{00000000-0005-0000-0000-0000F0010000}"/>
    <cellStyle name="好_2007年政法部门业务指标" xfId="575" xr:uid="{00000000-0005-0000-0000-00006F020000}"/>
    <cellStyle name="好_2007年政法部门业务指标_Book1" xfId="346" xr:uid="{00000000-0005-0000-0000-00008A010000}"/>
    <cellStyle name="好_2008年县级公安保障标准落实奖励经费分配测算" xfId="576" xr:uid="{00000000-0005-0000-0000-000070020000}"/>
    <cellStyle name="好_2008年县级公安保障标准落实奖励经费分配测算_Book1" xfId="57" xr:uid="{00000000-0005-0000-0000-000061000000}"/>
    <cellStyle name="好_2008云南省分县市中小学教职工统计表（教育厅提供）" xfId="577" xr:uid="{00000000-0005-0000-0000-000071020000}"/>
    <cellStyle name="好_2008云南省分县市中小学教职工统计表（教育厅提供）_Book1" xfId="578" xr:uid="{00000000-0005-0000-0000-000072020000}"/>
    <cellStyle name="好_2009年一般性转移支付标准工资" xfId="580" xr:uid="{00000000-0005-0000-0000-000074020000}"/>
    <cellStyle name="好_2009年一般性转移支付标准工资_~4190974" xfId="242" xr:uid="{00000000-0005-0000-0000-000022010000}"/>
    <cellStyle name="好_2009年一般性转移支付标准工资_~4190974_Book1" xfId="581" xr:uid="{00000000-0005-0000-0000-000075020000}"/>
    <cellStyle name="好_2009年一般性转移支付标准工资_~5676413" xfId="252" xr:uid="{00000000-0005-0000-0000-00002C010000}"/>
    <cellStyle name="好_2009年一般性转移支付标准工资_~5676413_Book1" xfId="259" xr:uid="{00000000-0005-0000-0000-000033010000}"/>
    <cellStyle name="好_2009年一般性转移支付标准工资_Book1" xfId="582" xr:uid="{00000000-0005-0000-0000-000076020000}"/>
    <cellStyle name="好_2009年一般性转移支付标准工资_不用软件计算9.1不考虑经费管理评价xl" xfId="473" xr:uid="{00000000-0005-0000-0000-000009020000}"/>
    <cellStyle name="好_2009年一般性转移支付标准工资_不用软件计算9.1不考虑经费管理评价xl_Book1" xfId="102" xr:uid="{00000000-0005-0000-0000-000096000000}"/>
    <cellStyle name="好_2009年一般性转移支付标准工资_地方配套按人均增幅控制8.30xl" xfId="583" xr:uid="{00000000-0005-0000-0000-000077020000}"/>
    <cellStyle name="好_2009年一般性转移支付标准工资_地方配套按人均增幅控制8.30xl_Book1" xfId="584" xr:uid="{00000000-0005-0000-0000-000078020000}"/>
    <cellStyle name="好_2009年一般性转移支付标准工资_地方配套按人均增幅控制8.30一般预算平均增幅、人均可用财力平均增幅两次控制、社会治安系数调整、案件数调整xl" xfId="585" xr:uid="{00000000-0005-0000-0000-000079020000}"/>
    <cellStyle name="好_2009年一般性转移支付标准工资_地方配套按人均增幅控制8.30一般预算平均增幅、人均可用财力平均增幅两次控制、社会治安系数调整、案件数调整xl_Book1" xfId="305" xr:uid="{00000000-0005-0000-0000-000061010000}"/>
    <cellStyle name="好_2009年一般性转移支付标准工资_地方配套按人均增幅控制8.31（调整结案率后）xl" xfId="586" xr:uid="{00000000-0005-0000-0000-00007A020000}"/>
    <cellStyle name="好_2009年一般性转移支付标准工资_地方配套按人均增幅控制8.31（调整结案率后）xl_Book1" xfId="587" xr:uid="{00000000-0005-0000-0000-00007B020000}"/>
    <cellStyle name="好_2009年一般性转移支付标准工资_奖励补助测算5.22测试" xfId="588" xr:uid="{00000000-0005-0000-0000-00007C020000}"/>
    <cellStyle name="好_2009年一般性转移支付标准工资_奖励补助测算5.22测试_Book1" xfId="160" xr:uid="{00000000-0005-0000-0000-0000D0000000}"/>
    <cellStyle name="好_2009年一般性转移支付标准工资_奖励补助测算5.23新" xfId="589" xr:uid="{00000000-0005-0000-0000-00007D020000}"/>
    <cellStyle name="好_2009年一般性转移支付标准工资_奖励补助测算5.23新_Book1" xfId="590" xr:uid="{00000000-0005-0000-0000-00007E020000}"/>
    <cellStyle name="好_2009年一般性转移支付标准工资_奖励补助测算5.24冯铸" xfId="592" xr:uid="{00000000-0005-0000-0000-000080020000}"/>
    <cellStyle name="好_2009年一般性转移支付标准工资_奖励补助测算5.24冯铸_Book1" xfId="593" xr:uid="{00000000-0005-0000-0000-000081020000}"/>
    <cellStyle name="好_2009年一般性转移支付标准工资_奖励补助测算7.23" xfId="594" xr:uid="{00000000-0005-0000-0000-000082020000}"/>
    <cellStyle name="好_2009年一般性转移支付标准工资_奖励补助测算7.23_Book1" xfId="595" xr:uid="{00000000-0005-0000-0000-000083020000}"/>
    <cellStyle name="好_2009年一般性转移支付标准工资_奖励补助测算7.25" xfId="596" xr:uid="{00000000-0005-0000-0000-000084020000}"/>
    <cellStyle name="好_2009年一般性转移支付标准工资_奖励补助测算7.25 (version 1) (version 1)" xfId="597" xr:uid="{00000000-0005-0000-0000-000085020000}"/>
    <cellStyle name="好_2009年一般性转移支付标准工资_奖励补助测算7.25 (version 1) (version 1)_Book1" xfId="227" xr:uid="{00000000-0005-0000-0000-000013010000}"/>
    <cellStyle name="好_2009年一般性转移支付标准工资_奖励补助测算7.25_Book1" xfId="129" xr:uid="{00000000-0005-0000-0000-0000B1000000}"/>
    <cellStyle name="好_2012年资金渠道安排建议" xfId="591" xr:uid="{00000000-0005-0000-0000-00007F020000}"/>
    <cellStyle name="好_530623_2006年县级财政报表附表" xfId="598" xr:uid="{00000000-0005-0000-0000-000086020000}"/>
    <cellStyle name="好_530623_2006年县级财政报表附表_Book1" xfId="387" xr:uid="{00000000-0005-0000-0000-0000B3010000}"/>
    <cellStyle name="好_530629_2006年县级财政报表附表" xfId="599" xr:uid="{00000000-0005-0000-0000-000087020000}"/>
    <cellStyle name="好_530629_2006年县级财政报表附表_Book1" xfId="498" xr:uid="{00000000-0005-0000-0000-000022020000}"/>
    <cellStyle name="好_5334_2006年迪庆县级财政报表附表" xfId="600" xr:uid="{00000000-0005-0000-0000-000088020000}"/>
    <cellStyle name="好_5334_2006年迪庆县级财政报表附表_Book1" xfId="273" xr:uid="{00000000-0005-0000-0000-000041010000}"/>
    <cellStyle name="好_Book1" xfId="601" xr:uid="{00000000-0005-0000-0000-000089020000}"/>
    <cellStyle name="好_Book1_1" xfId="603" xr:uid="{00000000-0005-0000-0000-00008B020000}"/>
    <cellStyle name="好_Book1_1_Book1" xfId="365" xr:uid="{00000000-0005-0000-0000-00009D010000}"/>
    <cellStyle name="好_Book1_2" xfId="375" xr:uid="{00000000-0005-0000-0000-0000A7010000}"/>
    <cellStyle name="好_Book1_2_Book1" xfId="604" xr:uid="{00000000-0005-0000-0000-00008C020000}"/>
    <cellStyle name="好_Book1_3" xfId="605" xr:uid="{00000000-0005-0000-0000-00008D020000}"/>
    <cellStyle name="好_Book1_县公司" xfId="167" xr:uid="{00000000-0005-0000-0000-0000D7000000}"/>
    <cellStyle name="好_Book1_县公司_Book1" xfId="151" xr:uid="{00000000-0005-0000-0000-0000C7000000}"/>
    <cellStyle name="好_Book1_银行账户情况表_2010年12月" xfId="606" xr:uid="{00000000-0005-0000-0000-00008E020000}"/>
    <cellStyle name="好_Book1_银行账户情况表_2010年12月_Book1" xfId="607" xr:uid="{00000000-0005-0000-0000-00008F020000}"/>
    <cellStyle name="好_Book2" xfId="609" xr:uid="{00000000-0005-0000-0000-000091020000}"/>
    <cellStyle name="好_Book2_Book1" xfId="610" xr:uid="{00000000-0005-0000-0000-000092020000}"/>
    <cellStyle name="好_M01-2(州市补助收入)" xfId="525" xr:uid="{00000000-0005-0000-0000-00003D020000}"/>
    <cellStyle name="好_M01-2(州市补助收入)_Book1" xfId="529" xr:uid="{00000000-0005-0000-0000-000041020000}"/>
    <cellStyle name="好_M03" xfId="96" xr:uid="{00000000-0005-0000-0000-000090000000}"/>
    <cellStyle name="好_M03_Book1" xfId="20" xr:uid="{00000000-0005-0000-0000-000021000000}"/>
    <cellStyle name="好_不用软件计算9.1不考虑经费管理评价xl" xfId="611" xr:uid="{00000000-0005-0000-0000-000093020000}"/>
    <cellStyle name="好_不用软件计算9.1不考虑经费管理评价xl_Book1" xfId="613" xr:uid="{00000000-0005-0000-0000-000095020000}"/>
    <cellStyle name="好_财政供养人员" xfId="412" xr:uid="{00000000-0005-0000-0000-0000CC010000}"/>
    <cellStyle name="好_财政供养人员_Book1" xfId="264" xr:uid="{00000000-0005-0000-0000-000038010000}"/>
    <cellStyle name="好_财政支出对上级的依赖程度" xfId="612" xr:uid="{00000000-0005-0000-0000-000094020000}"/>
    <cellStyle name="好_财政支出对上级的依赖程度_Book1" xfId="492" xr:uid="{00000000-0005-0000-0000-00001C020000}"/>
    <cellStyle name="好_城建部门" xfId="614" xr:uid="{00000000-0005-0000-0000-000096020000}"/>
    <cellStyle name="好_城建部门_Book1" xfId="615" xr:uid="{00000000-0005-0000-0000-000097020000}"/>
    <cellStyle name="好_地方配套按人均增幅控制8.30xl" xfId="616" xr:uid="{00000000-0005-0000-0000-000098020000}"/>
    <cellStyle name="好_地方配套按人均增幅控制8.30xl_Book1" xfId="617" xr:uid="{00000000-0005-0000-0000-000099020000}"/>
    <cellStyle name="好_地方配套按人均增幅控制8.30一般预算平均增幅、人均可用财力平均增幅两次控制、社会治安系数调整、案件数调整xl" xfId="618" xr:uid="{00000000-0005-0000-0000-00009A020000}"/>
    <cellStyle name="好_地方配套按人均增幅控制8.30一般预算平均增幅、人均可用财力平均增幅两次控制、社会治安系数调整、案件数调整xl_Book1" xfId="619" xr:uid="{00000000-0005-0000-0000-00009B020000}"/>
    <cellStyle name="好_地方配套按人均增幅控制8.31（调整结案率后）xl" xfId="469" xr:uid="{00000000-0005-0000-0000-000005020000}"/>
    <cellStyle name="好_地方配套按人均增幅控制8.31（调整结案率后）xl_Book1" xfId="4" xr:uid="{00000000-0005-0000-0000-000008000000}"/>
    <cellStyle name="好_第五部分(才淼、饶永宏）" xfId="156" xr:uid="{00000000-0005-0000-0000-0000CC000000}"/>
    <cellStyle name="好_第五部分(才淼、饶永宏）_Book1" xfId="559" xr:uid="{00000000-0005-0000-0000-00005F020000}"/>
    <cellStyle name="好_第一部分：综合全" xfId="339" xr:uid="{00000000-0005-0000-0000-000083010000}"/>
    <cellStyle name="好_第一部分：综合全_Book1" xfId="620" xr:uid="{00000000-0005-0000-0000-00009C020000}"/>
    <cellStyle name="好_高中教师人数（教育厅1.6日提供）" xfId="507" xr:uid="{00000000-0005-0000-0000-00002B020000}"/>
    <cellStyle name="好_高中教师人数（教育厅1.6日提供）_Book1" xfId="64" xr:uid="{00000000-0005-0000-0000-00006E000000}"/>
    <cellStyle name="好_汉阳水务局项目(1)" xfId="621" xr:uid="{00000000-0005-0000-0000-00009D020000}"/>
    <cellStyle name="好_汇总" xfId="622" xr:uid="{00000000-0005-0000-0000-00009E020000}"/>
    <cellStyle name="好_汇总_Book1" xfId="623" xr:uid="{00000000-0005-0000-0000-00009F020000}"/>
    <cellStyle name="好_汇总-县级财政报表附表" xfId="33" xr:uid="{00000000-0005-0000-0000-000032000000}"/>
    <cellStyle name="好_汇总-县级财政报表附表_Book1" xfId="59" xr:uid="{00000000-0005-0000-0000-000065000000}"/>
    <cellStyle name="好_基础数据分析" xfId="299" xr:uid="{00000000-0005-0000-0000-00005B010000}"/>
    <cellStyle name="好_基础数据分析_Book1" xfId="122" xr:uid="{00000000-0005-0000-0000-0000AA000000}"/>
    <cellStyle name="好_检验表" xfId="198" xr:uid="{00000000-0005-0000-0000-0000F6000000}"/>
    <cellStyle name="好_检验表（调整后）" xfId="624" xr:uid="{00000000-0005-0000-0000-0000A0020000}"/>
    <cellStyle name="好_检验表（调整后）_Book1" xfId="36" xr:uid="{00000000-0005-0000-0000-000037000000}"/>
    <cellStyle name="好_检验表_Book1" xfId="551" xr:uid="{00000000-0005-0000-0000-000057020000}"/>
    <cellStyle name="好_建行" xfId="304" xr:uid="{00000000-0005-0000-0000-000060010000}"/>
    <cellStyle name="好_建行_Book1" xfId="625" xr:uid="{00000000-0005-0000-0000-0000A1020000}"/>
    <cellStyle name="好_奖励补助测算5.22测试" xfId="484" xr:uid="{00000000-0005-0000-0000-000014020000}"/>
    <cellStyle name="好_奖励补助测算5.22测试_Book1" xfId="486" xr:uid="{00000000-0005-0000-0000-000016020000}"/>
    <cellStyle name="好_奖励补助测算5.23新" xfId="25" xr:uid="{00000000-0005-0000-0000-000028000000}"/>
    <cellStyle name="好_奖励补助测算5.23新_Book1" xfId="542" xr:uid="{00000000-0005-0000-0000-00004E020000}"/>
    <cellStyle name="好_奖励补助测算5.24冯铸" xfId="571" xr:uid="{00000000-0005-0000-0000-00006B020000}"/>
    <cellStyle name="好_奖励补助测算5.24冯铸_Book1" xfId="547" xr:uid="{00000000-0005-0000-0000-000053020000}"/>
    <cellStyle name="好_奖励补助测算7.23" xfId="626" xr:uid="{00000000-0005-0000-0000-0000A2020000}"/>
    <cellStyle name="好_奖励补助测算7.23_Book1" xfId="628" xr:uid="{00000000-0005-0000-0000-0000A4020000}"/>
    <cellStyle name="好_奖励补助测算7.25" xfId="629" xr:uid="{00000000-0005-0000-0000-0000A5020000}"/>
    <cellStyle name="好_奖励补助测算7.25 (version 1) (version 1)" xfId="535" xr:uid="{00000000-0005-0000-0000-000047020000}"/>
    <cellStyle name="好_奖励补助测算7.25 (version 1) (version 1)_Book1" xfId="145" xr:uid="{00000000-0005-0000-0000-0000C1000000}"/>
    <cellStyle name="好_奖励补助测算7.25_Book1" xfId="631" xr:uid="{00000000-0005-0000-0000-0000A7020000}"/>
    <cellStyle name="好_教师绩效工资测算表（离退休按各地上报数测算）2009年1月1日" xfId="632" xr:uid="{00000000-0005-0000-0000-0000A8020000}"/>
    <cellStyle name="好_教师绩效工资测算表（离退休按各地上报数测算）2009年1月1日_Book1" xfId="633" xr:uid="{00000000-0005-0000-0000-0000A9020000}"/>
    <cellStyle name="好_教育厅提供义务教育及高中教师人数（2009年1月6日）" xfId="634" xr:uid="{00000000-0005-0000-0000-0000AA020000}"/>
    <cellStyle name="好_教育厅提供义务教育及高中教师人数（2009年1月6日）_Book1" xfId="635" xr:uid="{00000000-0005-0000-0000-0000AB020000}"/>
    <cellStyle name="好_历年教师人数" xfId="333" xr:uid="{00000000-0005-0000-0000-00007D010000}"/>
    <cellStyle name="好_历年教师人数_Book1" xfId="95" xr:uid="{00000000-0005-0000-0000-00008F000000}"/>
    <cellStyle name="好_丽江汇总" xfId="636" xr:uid="{00000000-0005-0000-0000-0000AC020000}"/>
    <cellStyle name="好_丽江汇总_Book1" xfId="637" xr:uid="{00000000-0005-0000-0000-0000AD020000}"/>
    <cellStyle name="好_面积测算-商业-工业" xfId="638" xr:uid="{00000000-0005-0000-0000-0000AE020000}"/>
    <cellStyle name="好_面积测算-商业-工业1" xfId="120" xr:uid="{00000000-0005-0000-0000-0000A8000000}"/>
    <cellStyle name="好_面积校核计算表-" xfId="640" xr:uid="{00000000-0005-0000-0000-0000B0020000}"/>
    <cellStyle name="好_三季度－表二" xfId="47" xr:uid="{00000000-0005-0000-0000-00004A000000}"/>
    <cellStyle name="好_三季度－表二_Book1" xfId="642" xr:uid="{00000000-0005-0000-0000-0000B2020000}"/>
    <cellStyle name="好_卫生部门" xfId="643" xr:uid="{00000000-0005-0000-0000-0000B3020000}"/>
    <cellStyle name="好_卫生部门_Book1" xfId="389" xr:uid="{00000000-0005-0000-0000-0000B5010000}"/>
    <cellStyle name="好_文体广播部门" xfId="644" xr:uid="{00000000-0005-0000-0000-0000B4020000}"/>
    <cellStyle name="好_文体广播部门_Book1" xfId="645" xr:uid="{00000000-0005-0000-0000-0000B5020000}"/>
    <cellStyle name="好_下半年禁毒办案经费分配2544.3万元" xfId="173" xr:uid="{00000000-0005-0000-0000-0000DD000000}"/>
    <cellStyle name="好_下半年禁毒办案经费分配2544.3万元_Book1" xfId="646" xr:uid="{00000000-0005-0000-0000-0000B6020000}"/>
    <cellStyle name="好_下半年禁吸戒毒经费1000万元" xfId="647" xr:uid="{00000000-0005-0000-0000-0000B7020000}"/>
    <cellStyle name="好_下半年禁吸戒毒经费1000万元_Book1" xfId="229" xr:uid="{00000000-0005-0000-0000-000015010000}"/>
    <cellStyle name="好_县公司" xfId="504" xr:uid="{00000000-0005-0000-0000-000028020000}"/>
    <cellStyle name="好_县公司_Book1" xfId="510" xr:uid="{00000000-0005-0000-0000-00002E020000}"/>
    <cellStyle name="好_县级公安机关公用经费标准奖励测算方案（定稿）" xfId="446" xr:uid="{00000000-0005-0000-0000-0000EE010000}"/>
    <cellStyle name="好_县级公安机关公用经费标准奖励测算方案（定稿）_Book1" xfId="649" xr:uid="{00000000-0005-0000-0000-0000B9020000}"/>
    <cellStyle name="好_县级基础数据" xfId="421" xr:uid="{00000000-0005-0000-0000-0000D5010000}"/>
    <cellStyle name="好_县级基础数据_Book1" xfId="425" xr:uid="{00000000-0005-0000-0000-0000D9010000}"/>
    <cellStyle name="好_业务工作量指标" xfId="651" xr:uid="{00000000-0005-0000-0000-0000BB020000}"/>
    <cellStyle name="好_业务工作量指标_Book1" xfId="652" xr:uid="{00000000-0005-0000-0000-0000BC020000}"/>
    <cellStyle name="好_义务教育阶段教职工人数（教育厅提供最终）" xfId="653" xr:uid="{00000000-0005-0000-0000-0000BD020000}"/>
    <cellStyle name="好_义务教育阶段教职工人数（教育厅提供最终）_Book1" xfId="654" xr:uid="{00000000-0005-0000-0000-0000BE020000}"/>
    <cellStyle name="好_银行账户情况表_2010年12月" xfId="506" xr:uid="{00000000-0005-0000-0000-00002A020000}"/>
    <cellStyle name="好_银行账户情况表_2010年12月_Book1" xfId="63" xr:uid="{00000000-0005-0000-0000-00006D000000}"/>
    <cellStyle name="好_云南农村义务教育统计表" xfId="655" xr:uid="{00000000-0005-0000-0000-0000BF020000}"/>
    <cellStyle name="好_云南农村义务教育统计表_Book1" xfId="656" xr:uid="{00000000-0005-0000-0000-0000C0020000}"/>
    <cellStyle name="好_云南省2008年中小学教师人数统计表" xfId="449" xr:uid="{00000000-0005-0000-0000-0000F1010000}"/>
    <cellStyle name="好_云南省2008年中小学教师人数统计表_Book1" xfId="30" xr:uid="{00000000-0005-0000-0000-00002E000000}"/>
    <cellStyle name="好_云南省2008年中小学教职工情况（教育厅提供20090101加工整理）" xfId="445" xr:uid="{00000000-0005-0000-0000-0000ED010000}"/>
    <cellStyle name="好_云南省2008年中小学教职工情况（教育厅提供20090101加工整理）_Book1" xfId="648" xr:uid="{00000000-0005-0000-0000-0000B8020000}"/>
    <cellStyle name="好_云南省2008年转移支付测算——州市本级考核部分及政策性测算" xfId="657" xr:uid="{00000000-0005-0000-0000-0000C1020000}"/>
    <cellStyle name="好_云南省2008年转移支付测算——州市本级考核部分及政策性测算_Book1" xfId="521" xr:uid="{00000000-0005-0000-0000-000039020000}"/>
    <cellStyle name="好_云南水利电力有限公司" xfId="641" xr:uid="{00000000-0005-0000-0000-0000B1020000}"/>
    <cellStyle name="好_云南水利电力有限公司_Book1" xfId="658" xr:uid="{00000000-0005-0000-0000-0000C2020000}"/>
    <cellStyle name="好_指标四" xfId="234" xr:uid="{00000000-0005-0000-0000-00001A010000}"/>
    <cellStyle name="好_指标四_Book1" xfId="312" xr:uid="{00000000-0005-0000-0000-000068010000}"/>
    <cellStyle name="好_指标五" xfId="287" xr:uid="{00000000-0005-0000-0000-00004F010000}"/>
    <cellStyle name="好_指标五_Book1" xfId="276" xr:uid="{00000000-0005-0000-0000-000044010000}"/>
    <cellStyle name="后继超级链接" xfId="659" xr:uid="{00000000-0005-0000-0000-0000C3020000}"/>
    <cellStyle name="后继超链接" xfId="660" xr:uid="{00000000-0005-0000-0000-0000C4020000}"/>
    <cellStyle name="汇总 2" xfId="482" xr:uid="{00000000-0005-0000-0000-000012020000}"/>
    <cellStyle name="货币 2" xfId="286" xr:uid="{00000000-0005-0000-0000-00004E010000}"/>
    <cellStyle name="货币 2 2" xfId="462" xr:uid="{00000000-0005-0000-0000-0000FE010000}"/>
    <cellStyle name="貨幣 [0]_SGV" xfId="528" xr:uid="{00000000-0005-0000-0000-000040020000}"/>
    <cellStyle name="貨幣_SGV" xfId="661" xr:uid="{00000000-0005-0000-0000-0000C5020000}"/>
    <cellStyle name="计算 2" xfId="630" xr:uid="{00000000-0005-0000-0000-0000A6020000}"/>
    <cellStyle name="箋" xfId="662" xr:uid="{00000000-0005-0000-0000-0000C6020000}"/>
    <cellStyle name="检查单元格 2" xfId="316" xr:uid="{00000000-0005-0000-0000-00006C010000}"/>
    <cellStyle name="解释性文本 2" xfId="663" xr:uid="{00000000-0005-0000-0000-0000C7020000}"/>
    <cellStyle name="借出原因" xfId="664" xr:uid="{00000000-0005-0000-0000-0000C8020000}"/>
    <cellStyle name="警告文本 2" xfId="150" xr:uid="{00000000-0005-0000-0000-0000C6000000}"/>
    <cellStyle name="冏" xfId="639" xr:uid="{00000000-0005-0000-0000-0000AF020000}"/>
    <cellStyle name="链接单元格 2" xfId="532" xr:uid="{00000000-0005-0000-0000-000044020000}"/>
    <cellStyle name="霓付 [0]_ +Foil &amp; -FOIL &amp; PAPER" xfId="665" xr:uid="{00000000-0005-0000-0000-0000C9020000}"/>
    <cellStyle name="霓付_ +Foil &amp; -FOIL &amp; PAPER" xfId="579" xr:uid="{00000000-0005-0000-0000-000073020000}"/>
    <cellStyle name="烹拳 [0]_ +Foil &amp; -FOIL &amp; PAPER" xfId="666" xr:uid="{00000000-0005-0000-0000-0000CA020000}"/>
    <cellStyle name="烹拳_ +Foil &amp; -FOIL &amp; PAPER" xfId="667" xr:uid="{00000000-0005-0000-0000-0000CB020000}"/>
    <cellStyle name="普通_ 白土" xfId="567" xr:uid="{00000000-0005-0000-0000-000067020000}"/>
    <cellStyle name="千分位[0]_ 白土" xfId="256" xr:uid="{00000000-0005-0000-0000-000030010000}"/>
    <cellStyle name="千分位_ 白土" xfId="406" xr:uid="{00000000-0005-0000-0000-0000C6010000}"/>
    <cellStyle name="千位[0]_ 方正PC" xfId="668" xr:uid="{00000000-0005-0000-0000-0000CC020000}"/>
    <cellStyle name="千位_ 方正PC" xfId="669" xr:uid="{00000000-0005-0000-0000-0000CD020000}"/>
    <cellStyle name="千位分隔 2" xfId="602" xr:uid="{00000000-0005-0000-0000-00008A020000}"/>
    <cellStyle name="千位分隔 3" xfId="374" xr:uid="{00000000-0005-0000-0000-0000A6010000}"/>
    <cellStyle name="千位分隔[0] 2" xfId="670" xr:uid="{00000000-0005-0000-0000-0000CE020000}"/>
    <cellStyle name="钎霖_4岿角利" xfId="671" xr:uid="{00000000-0005-0000-0000-0000CF020000}"/>
    <cellStyle name="掔兓h" xfId="27" xr:uid="{00000000-0005-0000-0000-00002B000000}"/>
    <cellStyle name="强调 1" xfId="298" xr:uid="{00000000-0005-0000-0000-00005A010000}"/>
    <cellStyle name="强调 2" xfId="177" xr:uid="{00000000-0005-0000-0000-0000E1000000}"/>
    <cellStyle name="强调 3" xfId="181" xr:uid="{00000000-0005-0000-0000-0000E5000000}"/>
    <cellStyle name="强调文字颜色 1 2" xfId="295" xr:uid="{00000000-0005-0000-0000-000057010000}"/>
    <cellStyle name="强调文字颜色 1 3" xfId="673" xr:uid="{00000000-0005-0000-0000-0000D1020000}"/>
    <cellStyle name="强调文字颜色 1_面积测算-商业-工业" xfId="347" xr:uid="{00000000-0005-0000-0000-00008B010000}"/>
    <cellStyle name="强调文字颜色 2 2" xfId="674" xr:uid="{00000000-0005-0000-0000-0000D2020000}"/>
    <cellStyle name="强调文字颜色 2_面积测算-商业-工业" xfId="675" xr:uid="{00000000-0005-0000-0000-0000D3020000}"/>
    <cellStyle name="强调文字颜色 3 2" xfId="676" xr:uid="{00000000-0005-0000-0000-0000D4020000}"/>
    <cellStyle name="强调文字颜色 3_面积测算-商业-工业" xfId="15" xr:uid="{00000000-0005-0000-0000-00001A000000}"/>
    <cellStyle name="强调文字颜色 4 2" xfId="194" xr:uid="{00000000-0005-0000-0000-0000F2000000}"/>
    <cellStyle name="强调文字颜色 4 3" xfId="197" xr:uid="{00000000-0005-0000-0000-0000F5000000}"/>
    <cellStyle name="强调文字颜色 4_面积测算-商业-工业" xfId="117" xr:uid="{00000000-0005-0000-0000-0000A5000000}"/>
    <cellStyle name="强调文字颜色 5 2" xfId="80" xr:uid="{00000000-0005-0000-0000-000080000000}"/>
    <cellStyle name="强调文字颜色 5_面积测算-商业-工业" xfId="677" xr:uid="{00000000-0005-0000-0000-0000D5020000}"/>
    <cellStyle name="强调文字颜色 6 2" xfId="608" xr:uid="{00000000-0005-0000-0000-000090020000}"/>
    <cellStyle name="强调文字颜色 6_面积测算-商业-工业" xfId="678" xr:uid="{00000000-0005-0000-0000-0000D6020000}"/>
    <cellStyle name="日期" xfId="11" xr:uid="{00000000-0005-0000-0000-000014000000}"/>
    <cellStyle name="商品名称" xfId="204" xr:uid="{00000000-0005-0000-0000-0000FC000000}"/>
    <cellStyle name="适中 2" xfId="650" xr:uid="{00000000-0005-0000-0000-0000BA020000}"/>
    <cellStyle name="输出 2" xfId="679" xr:uid="{00000000-0005-0000-0000-0000D7020000}"/>
    <cellStyle name="输入 2" xfId="546" xr:uid="{00000000-0005-0000-0000-000052020000}"/>
    <cellStyle name="数量" xfId="680" xr:uid="{00000000-0005-0000-0000-0000D8020000}"/>
    <cellStyle name="数字" xfId="681" xr:uid="{00000000-0005-0000-0000-0000D9020000}"/>
    <cellStyle name="恬" xfId="682" xr:uid="{00000000-0005-0000-0000-0000DA020000}"/>
    <cellStyle name="㼿㼿㼿㼿㼿㼿" xfId="574" xr:uid="{00000000-0005-0000-0000-00006E020000}"/>
    <cellStyle name="㼿㼿㼿㼿㼿㼿㼿㼿㼿㼿㼿?" xfId="683" xr:uid="{00000000-0005-0000-0000-0000DB020000}"/>
    <cellStyle name="未定义" xfId="370" xr:uid="{00000000-0005-0000-0000-0000A2010000}"/>
    <cellStyle name="小数" xfId="684" xr:uid="{00000000-0005-0000-0000-0000DC020000}"/>
    <cellStyle name="顨" xfId="136" xr:uid="{00000000-0005-0000-0000-0000B8000000}"/>
    <cellStyle name="杨兓h" xfId="685" xr:uid="{00000000-0005-0000-0000-0000DD020000}"/>
    <cellStyle name="样式 1" xfId="281" xr:uid="{00000000-0005-0000-0000-000049010000}"/>
    <cellStyle name="样式 10" xfId="686" xr:uid="{00000000-0005-0000-0000-0000DE020000}"/>
    <cellStyle name="样式 11" xfId="687" xr:uid="{00000000-0005-0000-0000-0000DF020000}"/>
    <cellStyle name="样式 12" xfId="688" xr:uid="{00000000-0005-0000-0000-0000E0020000}"/>
    <cellStyle name="样式 13" xfId="509" xr:uid="{00000000-0005-0000-0000-00002D020000}"/>
    <cellStyle name="样式 14" xfId="379" xr:uid="{00000000-0005-0000-0000-0000AB010000}"/>
    <cellStyle name="样式 15" xfId="2" xr:uid="{00000000-0005-0000-0000-000002000000}"/>
    <cellStyle name="样式 16" xfId="690" xr:uid="{00000000-0005-0000-0000-0000E2020000}"/>
    <cellStyle name="样式 17" xfId="692" xr:uid="{00000000-0005-0000-0000-0000E4020000}"/>
    <cellStyle name="样式 18" xfId="694" xr:uid="{00000000-0005-0000-0000-0000E6020000}"/>
    <cellStyle name="样式 19" xfId="696" xr:uid="{00000000-0005-0000-0000-0000E8020000}"/>
    <cellStyle name="样式 2" xfId="697" xr:uid="{00000000-0005-0000-0000-0000E9020000}"/>
    <cellStyle name="样式 20" xfId="1" xr:uid="{00000000-0005-0000-0000-000001000000}"/>
    <cellStyle name="样式 21" xfId="689" xr:uid="{00000000-0005-0000-0000-0000E1020000}"/>
    <cellStyle name="样式 22" xfId="691" xr:uid="{00000000-0005-0000-0000-0000E3020000}"/>
    <cellStyle name="样式 23" xfId="693" xr:uid="{00000000-0005-0000-0000-0000E5020000}"/>
    <cellStyle name="样式 24" xfId="695" xr:uid="{00000000-0005-0000-0000-0000E7020000}"/>
    <cellStyle name="样式 25" xfId="342" xr:uid="{00000000-0005-0000-0000-000086010000}"/>
    <cellStyle name="样式 26" xfId="698" xr:uid="{00000000-0005-0000-0000-0000EA020000}"/>
    <cellStyle name="样式 27" xfId="699" xr:uid="{00000000-0005-0000-0000-0000EB020000}"/>
    <cellStyle name="样式 28" xfId="368" xr:uid="{00000000-0005-0000-0000-0000A0010000}"/>
    <cellStyle name="样式 29" xfId="700" xr:uid="{00000000-0005-0000-0000-0000EC020000}"/>
    <cellStyle name="样式 3" xfId="561" xr:uid="{00000000-0005-0000-0000-000061020000}"/>
    <cellStyle name="样式 4" xfId="442" xr:uid="{00000000-0005-0000-0000-0000EA010000}"/>
    <cellStyle name="样式 5" xfId="701" xr:uid="{00000000-0005-0000-0000-0000ED020000}"/>
    <cellStyle name="样式 6" xfId="294" xr:uid="{00000000-0005-0000-0000-000056010000}"/>
    <cellStyle name="样式 7" xfId="672" xr:uid="{00000000-0005-0000-0000-0000D0020000}"/>
    <cellStyle name="样式 8" xfId="702" xr:uid="{00000000-0005-0000-0000-0000EE020000}"/>
    <cellStyle name="样式 9" xfId="703" xr:uid="{00000000-0005-0000-0000-0000EF020000}"/>
    <cellStyle name="一般_SGV" xfId="704" xr:uid="{00000000-0005-0000-0000-0000F0020000}"/>
    <cellStyle name="亐" xfId="87" xr:uid="{00000000-0005-0000-0000-000087000000}"/>
    <cellStyle name="咋来" xfId="627" xr:uid="{00000000-0005-0000-0000-0000A3020000}"/>
    <cellStyle name="昗弨_Pacific Region P&amp;L" xfId="705" xr:uid="{00000000-0005-0000-0000-0000F1020000}"/>
    <cellStyle name="寘嬫愗傝 [0.00]_Region Orders (2)" xfId="706" xr:uid="{00000000-0005-0000-0000-0000F2020000}"/>
    <cellStyle name="寘嬫愗傝_Region Orders (2)" xfId="707" xr:uid="{00000000-0005-0000-0000-0000F3020000}"/>
    <cellStyle name="注释 2" xfId="708" xr:uid="{00000000-0005-0000-0000-0000F4020000}"/>
    <cellStyle name="醉敠g" xfId="709" xr:uid="{00000000-0005-0000-0000-0000F5020000}"/>
    <cellStyle name="콤마 [0]_BOILER-CO1" xfId="201" xr:uid="{00000000-0005-0000-0000-0000F9000000}"/>
    <cellStyle name="콤마_BOILER-CO1" xfId="135" xr:uid="{00000000-0005-0000-0000-0000B7000000}"/>
    <cellStyle name="통화 [0]_BOILER-CO1" xfId="710" xr:uid="{00000000-0005-0000-0000-0000F6020000}"/>
    <cellStyle name="통화_BOILER-CO1" xfId="275" xr:uid="{00000000-0005-0000-0000-000043010000}"/>
    <cellStyle name="표준_0N-HANDLING " xfId="362" xr:uid="{00000000-0005-0000-0000-00009A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9646"/>
      <rgbColor rgb="00FBD5B5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4396</xdr:colOff>
      <xdr:row>7</xdr:row>
      <xdr:rowOff>15386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6490335" y="2351405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4&#24180;/&#24037;&#31243;&#20854;&#20182;/&#38754;&#31215;&#26657;&#26680;&#20986;&#22270;&#29256;/&#38754;&#31215;&#35745;&#316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统1"/>
      <sheetName val="  单体1"/>
      <sheetName val="统2"/>
      <sheetName val="  单体2"/>
      <sheetName val="统3"/>
      <sheetName val="  单体3"/>
      <sheetName val="统4"/>
      <sheetName val="  单体4"/>
      <sheetName val="统5"/>
      <sheetName val="  单体5"/>
      <sheetName val="统6"/>
      <sheetName val="  单体6"/>
      <sheetName val="统7"/>
      <sheetName val="  单体7"/>
      <sheetName val="统8"/>
      <sheetName val="  单体8"/>
      <sheetName val="统9"/>
      <sheetName val="  单体9"/>
      <sheetName val="统10"/>
      <sheetName val="  单体10"/>
      <sheetName val="统11"/>
      <sheetName val="  单体11"/>
      <sheetName val="统12"/>
      <sheetName val="  单体12"/>
      <sheetName val="统13"/>
      <sheetName val="  单体13"/>
      <sheetName val="统14"/>
      <sheetName val="  单体14"/>
      <sheetName val="统15"/>
      <sheetName val="  单体15"/>
      <sheetName val="统16"/>
      <sheetName val="单体16"/>
      <sheetName val="统17"/>
      <sheetName val="单体17"/>
      <sheetName val="统北门楼1"/>
      <sheetName val="  单北门楼1"/>
      <sheetName val="统北门楼2"/>
      <sheetName val="  单北门楼2"/>
      <sheetName val="统地"/>
      <sheetName val="单地"/>
      <sheetName val="对比表"/>
      <sheetName val="综统"/>
      <sheetName val="1期对比表 "/>
      <sheetName val="1期综统 "/>
      <sheetName val="2期对比表"/>
      <sheetName val="2期综统"/>
      <sheetName val="单地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F4" t="str">
            <v>住宅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I4" t="str">
            <v>小型车位</v>
          </cell>
          <cell r="K4" t="str">
            <v>小型充电桩车位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1"/>
  <sheetViews>
    <sheetView showZeros="0" workbookViewId="0">
      <selection activeCell="G30" sqref="G30"/>
    </sheetView>
  </sheetViews>
  <sheetFormatPr defaultColWidth="9" defaultRowHeight="14.35"/>
  <cols>
    <col min="1" max="1" width="9.87890625" style="72" customWidth="1"/>
    <col min="2" max="2" width="23.3515625" style="72" customWidth="1"/>
    <col min="3" max="3" width="26" style="72" customWidth="1"/>
    <col min="4" max="4" width="24.46875" style="72" customWidth="1"/>
    <col min="5" max="5" width="9" style="72"/>
    <col min="6" max="6" width="10.46875" style="72" customWidth="1"/>
    <col min="7" max="7" width="9" style="72"/>
    <col min="8" max="8" width="10.46875" style="72" customWidth="1"/>
    <col min="9" max="9" width="10.87890625" style="72" customWidth="1"/>
    <col min="10" max="16384" width="9" style="72"/>
  </cols>
  <sheetData>
    <row r="1" spans="1:233" ht="20.100000000000001" customHeight="1">
      <c r="A1" s="95" t="s">
        <v>0</v>
      </c>
      <c r="B1" s="95"/>
      <c r="C1" s="95"/>
      <c r="D1" s="95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3"/>
      <c r="GH1" s="73"/>
      <c r="GI1" s="73"/>
      <c r="GJ1" s="73"/>
      <c r="GK1" s="73"/>
      <c r="GL1" s="73"/>
      <c r="GM1" s="73"/>
      <c r="GN1" s="73"/>
      <c r="GO1" s="73"/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/>
      <c r="HQ1" s="73"/>
      <c r="HR1" s="73"/>
      <c r="HS1" s="73"/>
      <c r="HT1" s="73"/>
      <c r="HU1" s="73"/>
      <c r="HV1" s="73"/>
      <c r="HW1" s="73"/>
      <c r="HX1" s="73"/>
      <c r="HY1" s="73"/>
    </row>
    <row r="2" spans="1:233" ht="20.100000000000001" customHeight="1">
      <c r="A2" s="95"/>
      <c r="B2" s="95"/>
      <c r="C2" s="95"/>
      <c r="D2" s="95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</row>
    <row r="3" spans="1:233" ht="50.1" customHeight="1">
      <c r="A3" s="74" t="s">
        <v>1</v>
      </c>
      <c r="B3" s="75" t="s">
        <v>2</v>
      </c>
      <c r="C3" s="75" t="s">
        <v>3</v>
      </c>
      <c r="D3" s="76" t="s">
        <v>4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</row>
    <row r="4" spans="1:233" ht="28.5" customHeight="1">
      <c r="A4" s="94" t="str">
        <f>'1#'!B2</f>
        <v>1#</v>
      </c>
      <c r="B4" s="27" t="str">
        <f>[1]统9!F4</f>
        <v>住宅</v>
      </c>
      <c r="C4" s="77">
        <f>'1#'!G20</f>
        <v>13378.67</v>
      </c>
      <c r="D4" s="31"/>
      <c r="E4" s="73"/>
      <c r="F4" s="78">
        <f>C25*0.03</f>
        <v>475.56</v>
      </c>
      <c r="G4" s="73">
        <v>507.16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</row>
    <row r="5" spans="1:233" ht="18" customHeight="1">
      <c r="A5" s="94"/>
      <c r="B5" s="27" t="s">
        <v>5</v>
      </c>
      <c r="C5" s="77">
        <f>'1#'!I20</f>
        <v>119.3</v>
      </c>
      <c r="D5" s="31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</row>
    <row r="6" spans="1:233" ht="18" customHeight="1">
      <c r="A6" s="94"/>
      <c r="B6" s="27" t="s">
        <v>6</v>
      </c>
      <c r="C6" s="77">
        <f>'1#'!J20</f>
        <v>1001.15</v>
      </c>
      <c r="D6" s="31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</row>
    <row r="7" spans="1:233" ht="18" customHeight="1">
      <c r="A7" s="94"/>
      <c r="B7" s="27" t="s">
        <v>7</v>
      </c>
      <c r="C7" s="77">
        <f>'1#'!K20</f>
        <v>601.74</v>
      </c>
      <c r="D7" s="31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</row>
    <row r="8" spans="1:233" ht="18" customHeight="1">
      <c r="A8" s="94"/>
      <c r="B8" s="27" t="s">
        <v>8</v>
      </c>
      <c r="C8" s="77">
        <f>'1#'!L20</f>
        <v>54.84</v>
      </c>
      <c r="D8" s="31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</row>
    <row r="9" spans="1:233" ht="18" customHeight="1">
      <c r="A9" s="94"/>
      <c r="B9" s="27" t="s">
        <v>9</v>
      </c>
      <c r="C9" s="77">
        <f>'1#'!M20</f>
        <v>0</v>
      </c>
      <c r="D9" s="31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</row>
    <row r="10" spans="1:233" ht="18" customHeight="1">
      <c r="A10" s="94"/>
      <c r="B10" s="27" t="s">
        <v>10</v>
      </c>
      <c r="C10" s="77">
        <f>'1#'!O20</f>
        <v>300.77999999999997</v>
      </c>
      <c r="D10" s="31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</row>
    <row r="11" spans="1:233" ht="18" customHeight="1">
      <c r="A11" s="94"/>
      <c r="B11" s="27" t="s">
        <v>11</v>
      </c>
      <c r="C11" s="77">
        <f>'1#'!P20</f>
        <v>91.87</v>
      </c>
      <c r="D11" s="3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</row>
    <row r="12" spans="1:233" ht="18" customHeight="1">
      <c r="A12" s="94"/>
      <c r="B12" s="27" t="s">
        <v>12</v>
      </c>
      <c r="C12" s="77">
        <f>'1#'!Q20</f>
        <v>206.14</v>
      </c>
      <c r="D12" s="3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</row>
    <row r="13" spans="1:233" ht="18" customHeight="1">
      <c r="A13" s="94"/>
      <c r="B13" s="27" t="s">
        <v>13</v>
      </c>
      <c r="C13" s="77">
        <f>'1#'!T20</f>
        <v>0</v>
      </c>
      <c r="D13" s="3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</row>
    <row r="14" spans="1:233" ht="18" customHeight="1">
      <c r="A14" s="94"/>
      <c r="B14" s="27" t="s">
        <v>14</v>
      </c>
      <c r="C14" s="77">
        <f>'1#'!U20</f>
        <v>97.5</v>
      </c>
      <c r="D14" s="3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</row>
    <row r="15" spans="1:233" ht="18" customHeight="1">
      <c r="A15" s="94"/>
      <c r="B15" s="27"/>
      <c r="C15" s="77"/>
      <c r="D15" s="3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</row>
    <row r="16" spans="1:233" ht="18" customHeight="1">
      <c r="A16" s="94"/>
      <c r="B16" s="27"/>
      <c r="C16" s="77"/>
      <c r="D16" s="3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</row>
    <row r="17" spans="1:233" ht="18" customHeight="1">
      <c r="A17" s="94"/>
      <c r="B17" s="27"/>
      <c r="C17" s="77"/>
      <c r="D17" s="3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</row>
    <row r="18" spans="1:233" ht="18" customHeight="1">
      <c r="A18" s="94"/>
      <c r="B18" s="27"/>
      <c r="C18" s="79"/>
      <c r="D18" s="3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</row>
    <row r="19" spans="1:233" ht="18" customHeight="1">
      <c r="A19" s="94"/>
      <c r="B19" s="27"/>
      <c r="C19" s="77"/>
      <c r="D19" s="3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</row>
    <row r="20" spans="1:233" ht="18" customHeight="1">
      <c r="A20" s="94"/>
      <c r="B20" s="27"/>
      <c r="C20" s="77"/>
      <c r="D20" s="3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</row>
    <row r="21" spans="1:233" ht="18" customHeight="1">
      <c r="A21" s="94"/>
      <c r="B21" s="27"/>
      <c r="C21" s="77"/>
      <c r="D21" s="3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</row>
    <row r="22" spans="1:233" ht="18" customHeight="1">
      <c r="A22" s="94"/>
      <c r="B22" s="27"/>
      <c r="C22" s="77"/>
      <c r="D22" s="3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</row>
    <row r="23" spans="1:233" ht="18" customHeight="1">
      <c r="A23" s="94"/>
      <c r="B23" s="27"/>
      <c r="C23" s="77"/>
      <c r="D23" s="3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</row>
    <row r="24" spans="1:233" ht="18" customHeight="1">
      <c r="A24" s="94"/>
      <c r="B24" s="27"/>
      <c r="C24" s="77"/>
      <c r="D24" s="31"/>
      <c r="E24" s="73"/>
      <c r="F24" s="80">
        <f>SUM(C4:C9)</f>
        <v>15155.7</v>
      </c>
      <c r="G24" s="80">
        <f>C10+C11+C12+C13</f>
        <v>598.79</v>
      </c>
      <c r="H24" s="78">
        <f>C14</f>
        <v>97.5</v>
      </c>
      <c r="I24" s="80">
        <f>F24+G24+H24</f>
        <v>15851.99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</row>
    <row r="25" spans="1:233" ht="18" customHeight="1">
      <c r="A25" s="82" t="s">
        <v>15</v>
      </c>
      <c r="B25" s="83"/>
      <c r="C25" s="77">
        <f>SUM(C4:C24)</f>
        <v>15851.99</v>
      </c>
      <c r="D25" s="3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</row>
    <row r="26" spans="1:233" ht="18" customHeight="1">
      <c r="A26" s="84" t="s">
        <v>16</v>
      </c>
      <c r="B26" s="85"/>
      <c r="C26" s="85"/>
      <c r="D26" s="86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</row>
    <row r="27" spans="1:233" ht="18" customHeight="1">
      <c r="A27" s="87" t="s">
        <v>17</v>
      </c>
      <c r="B27" s="88"/>
      <c r="C27" s="88"/>
      <c r="D27" s="89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</row>
    <row r="28" spans="1:233" ht="18" customHeight="1">
      <c r="A28" s="87" t="str">
        <f>"2、本栋总建筑面积："&amp;C25&amp;"平方米，计容建筑面积："&amp;F24&amp;"平方米，建筑基底面积：1466.17平方米"</f>
        <v>2、本栋总建筑面积：15851.99平方米，计容建筑面积：15155.7平方米，建筑基底面积：1466.17平方米</v>
      </c>
      <c r="B28" s="88"/>
      <c r="C28" s="88"/>
      <c r="D28" s="89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</row>
    <row r="29" spans="1:233" ht="18" customHeight="1">
      <c r="A29" s="87" t="s">
        <v>18</v>
      </c>
      <c r="B29" s="88"/>
      <c r="C29" s="88"/>
      <c r="D29" s="89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</row>
    <row r="30" spans="1:233" ht="24.95" customHeight="1">
      <c r="A30" s="90" t="s">
        <v>19</v>
      </c>
      <c r="B30" s="91"/>
      <c r="C30" s="91"/>
      <c r="D30" s="92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</row>
    <row r="31" spans="1:233" ht="23.25" customHeight="1">
      <c r="A31" s="93" t="s">
        <v>20</v>
      </c>
      <c r="B31" s="93"/>
      <c r="C31" s="93"/>
      <c r="D31" s="9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</row>
  </sheetData>
  <mergeCells count="9">
    <mergeCell ref="A30:D30"/>
    <mergeCell ref="A31:D31"/>
    <mergeCell ref="A4:A24"/>
    <mergeCell ref="A1:D2"/>
    <mergeCell ref="A25:B25"/>
    <mergeCell ref="A26:D26"/>
    <mergeCell ref="A27:D27"/>
    <mergeCell ref="A28:D28"/>
    <mergeCell ref="A29:D29"/>
  </mergeCells>
  <phoneticPr fontId="99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N22"/>
  <sheetViews>
    <sheetView showZeros="0" view="pageBreakPreview" zoomScale="85" zoomScaleNormal="100" workbookViewId="0">
      <selection activeCell="F10" sqref="F10"/>
    </sheetView>
  </sheetViews>
  <sheetFormatPr defaultColWidth="7.87890625" defaultRowHeight="15.35"/>
  <cols>
    <col min="1" max="1" width="12.1171875" style="34" customWidth="1"/>
    <col min="2" max="2" width="5.46875" style="34" customWidth="1"/>
    <col min="3" max="3" width="10" style="34" customWidth="1"/>
    <col min="4" max="5" width="13.234375" style="34" customWidth="1"/>
    <col min="6" max="6" width="15.1171875" style="35" customWidth="1"/>
    <col min="7" max="7" width="14.234375" style="35" customWidth="1"/>
    <col min="8" max="8" width="14.76171875" style="35" customWidth="1"/>
    <col min="9" max="9" width="14.234375" style="35" customWidth="1"/>
    <col min="10" max="10" width="11.76171875" style="35" customWidth="1"/>
    <col min="11" max="20" width="11.64453125" style="35" customWidth="1"/>
    <col min="21" max="21" width="11.64453125" style="34" customWidth="1"/>
    <col min="22" max="241" width="7.87890625" style="34"/>
  </cols>
  <sheetData>
    <row r="1" spans="1:246" ht="23">
      <c r="A1" s="96" t="s">
        <v>21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</row>
    <row r="2" spans="1:246" ht="12.75" customHeight="1">
      <c r="A2" s="53" t="s">
        <v>22</v>
      </c>
      <c r="B2" s="55" t="s">
        <v>23</v>
      </c>
      <c r="C2" s="55"/>
      <c r="D2" s="55"/>
      <c r="E2" s="56"/>
      <c r="F2" s="57"/>
      <c r="G2" s="57"/>
      <c r="H2" s="5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68"/>
      <c r="W2"/>
      <c r="IH2" s="34"/>
      <c r="II2" s="34"/>
      <c r="IJ2" s="34"/>
      <c r="IK2" s="34"/>
      <c r="IL2" s="34"/>
    </row>
    <row r="3" spans="1:246" s="50" customFormat="1" ht="18" customHeight="1">
      <c r="A3" s="110" t="s">
        <v>24</v>
      </c>
      <c r="B3" s="113" t="s">
        <v>25</v>
      </c>
      <c r="C3" s="113" t="s">
        <v>26</v>
      </c>
      <c r="D3" s="113" t="s">
        <v>27</v>
      </c>
      <c r="E3" s="97" t="s">
        <v>28</v>
      </c>
      <c r="F3" s="98"/>
      <c r="G3" s="98"/>
      <c r="H3" s="98"/>
      <c r="I3" s="98"/>
      <c r="J3" s="98"/>
      <c r="K3" s="98"/>
      <c r="L3" s="98"/>
      <c r="M3" s="98"/>
      <c r="N3" s="97" t="s">
        <v>29</v>
      </c>
      <c r="O3" s="98"/>
      <c r="P3" s="98"/>
      <c r="Q3" s="99"/>
      <c r="R3" s="97" t="s">
        <v>30</v>
      </c>
      <c r="S3" s="98"/>
      <c r="T3" s="98"/>
      <c r="U3" s="99"/>
      <c r="V3" s="120" t="s">
        <v>4</v>
      </c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</row>
    <row r="4" spans="1:246" s="50" customFormat="1" ht="21.75" customHeight="1">
      <c r="A4" s="111"/>
      <c r="B4" s="114"/>
      <c r="C4" s="114"/>
      <c r="D4" s="114"/>
      <c r="E4" s="116" t="s">
        <v>31</v>
      </c>
      <c r="F4" s="100" t="s">
        <v>32</v>
      </c>
      <c r="G4" s="101"/>
      <c r="H4" s="100" t="s">
        <v>5</v>
      </c>
      <c r="I4" s="101"/>
      <c r="J4" s="118" t="s">
        <v>6</v>
      </c>
      <c r="K4" s="118" t="s">
        <v>7</v>
      </c>
      <c r="L4" s="118" t="s">
        <v>8</v>
      </c>
      <c r="M4" s="118" t="s">
        <v>9</v>
      </c>
      <c r="N4" s="116" t="s">
        <v>31</v>
      </c>
      <c r="O4" s="118" t="s">
        <v>10</v>
      </c>
      <c r="P4" s="118" t="s">
        <v>11</v>
      </c>
      <c r="Q4" s="116" t="s">
        <v>12</v>
      </c>
      <c r="R4" s="116" t="s">
        <v>31</v>
      </c>
      <c r="S4" s="102" t="s">
        <v>13</v>
      </c>
      <c r="T4" s="103"/>
      <c r="U4" s="118" t="s">
        <v>14</v>
      </c>
      <c r="V4" s="121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</row>
    <row r="5" spans="1:246" s="50" customFormat="1" ht="24.95" customHeight="1">
      <c r="A5" s="112"/>
      <c r="B5" s="115"/>
      <c r="C5" s="115"/>
      <c r="D5" s="115"/>
      <c r="E5" s="117"/>
      <c r="F5" s="58" t="s">
        <v>33</v>
      </c>
      <c r="G5" s="58" t="s">
        <v>34</v>
      </c>
      <c r="H5" s="58" t="s">
        <v>33</v>
      </c>
      <c r="I5" s="58" t="s">
        <v>34</v>
      </c>
      <c r="J5" s="119"/>
      <c r="K5" s="119"/>
      <c r="L5" s="119"/>
      <c r="M5" s="119"/>
      <c r="N5" s="117"/>
      <c r="O5" s="119"/>
      <c r="P5" s="119"/>
      <c r="Q5" s="117"/>
      <c r="R5" s="117"/>
      <c r="S5" s="58" t="s">
        <v>33</v>
      </c>
      <c r="T5" s="58" t="s">
        <v>34</v>
      </c>
      <c r="U5" s="119"/>
      <c r="V5" s="121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</row>
    <row r="6" spans="1:246" ht="25.5" customHeight="1">
      <c r="A6" s="59" t="s">
        <v>35</v>
      </c>
      <c r="B6" s="60">
        <v>1</v>
      </c>
      <c r="C6" s="61">
        <f>D6</f>
        <v>1466.17</v>
      </c>
      <c r="D6" s="62">
        <f>E6+N6+R6</f>
        <v>1466.17</v>
      </c>
      <c r="E6" s="62">
        <f>G6+I6+J6+K6+L6+M6</f>
        <v>836.75</v>
      </c>
      <c r="F6" s="62">
        <f>4.73+124.14+5.3+5.65+5.61+124.14+3.18+5.42+4.1</f>
        <v>282.27</v>
      </c>
      <c r="G6" s="62">
        <f t="shared" ref="G6:G19" si="0">F6*B6</f>
        <v>282.27</v>
      </c>
      <c r="H6" s="62">
        <v>119.3</v>
      </c>
      <c r="I6" s="62">
        <f>H6*B6</f>
        <v>119.3</v>
      </c>
      <c r="J6" s="62">
        <f>133.68+23.46+19.86</f>
        <v>177</v>
      </c>
      <c r="K6" s="62">
        <f>155.95+47.39</f>
        <v>203.34</v>
      </c>
      <c r="L6" s="62">
        <v>54.84</v>
      </c>
      <c r="M6" s="62"/>
      <c r="N6" s="62">
        <f>O6+P6+Q6</f>
        <v>531.91999999999996</v>
      </c>
      <c r="O6" s="62">
        <v>300.77999999999997</v>
      </c>
      <c r="P6" s="62">
        <f>58.82+33.05</f>
        <v>91.87</v>
      </c>
      <c r="Q6" s="62">
        <f>16.64+122.63</f>
        <v>139.27000000000001</v>
      </c>
      <c r="R6" s="69">
        <f>SUM(T6:U6)</f>
        <v>97.5</v>
      </c>
      <c r="S6" s="69"/>
      <c r="T6" s="69">
        <f>S6*B6</f>
        <v>0</v>
      </c>
      <c r="U6" s="69">
        <v>97.5</v>
      </c>
      <c r="V6" s="44"/>
    </row>
    <row r="7" spans="1:246" s="51" customFormat="1" ht="25.5" customHeight="1">
      <c r="A7" s="59" t="s">
        <v>36</v>
      </c>
      <c r="B7" s="60">
        <v>1</v>
      </c>
      <c r="C7" s="61"/>
      <c r="D7" s="62">
        <f t="shared" ref="D7:D19" si="1">E7+N7+R7</f>
        <v>894.18</v>
      </c>
      <c r="E7" s="62">
        <f t="shared" ref="E7:E19" si="2">G7+I7+J7+K7+L7+M7</f>
        <v>894.18</v>
      </c>
      <c r="F7" s="62">
        <f>4.74+38.16+7.16+38.16+7.16</f>
        <v>95.38</v>
      </c>
      <c r="G7" s="62">
        <f t="shared" si="0"/>
        <v>95.38</v>
      </c>
      <c r="H7" s="62"/>
      <c r="I7" s="62"/>
      <c r="J7" s="62">
        <f>377.93+22.47</f>
        <v>400.4</v>
      </c>
      <c r="K7" s="62">
        <v>398.4</v>
      </c>
      <c r="L7" s="62"/>
      <c r="M7" s="62"/>
      <c r="N7" s="62">
        <f t="shared" ref="N7:N12" si="3">O7+P7+Q7</f>
        <v>0</v>
      </c>
      <c r="O7" s="62"/>
      <c r="P7" s="62"/>
      <c r="Q7" s="62"/>
      <c r="R7" s="69"/>
      <c r="S7" s="69"/>
      <c r="T7" s="69">
        <f t="shared" ref="T7:T19" si="4">S7*B7</f>
        <v>0</v>
      </c>
      <c r="U7" s="69"/>
      <c r="V7" s="4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</row>
    <row r="8" spans="1:246" ht="25.5" customHeight="1">
      <c r="A8" s="59" t="s">
        <v>37</v>
      </c>
      <c r="B8" s="60">
        <v>1</v>
      </c>
      <c r="C8" s="61"/>
      <c r="D8" s="62">
        <f t="shared" si="1"/>
        <v>904.26</v>
      </c>
      <c r="E8" s="62">
        <f t="shared" si="2"/>
        <v>837.39</v>
      </c>
      <c r="F8" s="62">
        <v>413.64</v>
      </c>
      <c r="G8" s="62">
        <f t="shared" si="0"/>
        <v>413.64</v>
      </c>
      <c r="H8" s="62"/>
      <c r="I8" s="62">
        <f t="shared" ref="I8:I19" si="5">H8*B8</f>
        <v>0</v>
      </c>
      <c r="J8" s="62">
        <v>423.75</v>
      </c>
      <c r="K8" s="62"/>
      <c r="L8" s="62"/>
      <c r="M8" s="62"/>
      <c r="N8" s="62">
        <f t="shared" si="3"/>
        <v>66.87</v>
      </c>
      <c r="O8" s="62"/>
      <c r="P8" s="62"/>
      <c r="Q8" s="62">
        <v>66.87</v>
      </c>
      <c r="R8" s="69"/>
      <c r="S8" s="69"/>
      <c r="T8" s="69">
        <f t="shared" si="4"/>
        <v>0</v>
      </c>
      <c r="U8" s="69"/>
      <c r="V8" s="44"/>
    </row>
    <row r="9" spans="1:246" ht="25.5" customHeight="1">
      <c r="A9" s="59" t="s">
        <v>38</v>
      </c>
      <c r="B9" s="60">
        <v>10</v>
      </c>
      <c r="C9" s="62"/>
      <c r="D9" s="62">
        <f t="shared" si="1"/>
        <v>7358.7</v>
      </c>
      <c r="E9" s="62">
        <f t="shared" si="2"/>
        <v>7358.7</v>
      </c>
      <c r="F9" s="62">
        <v>735.87</v>
      </c>
      <c r="G9" s="62">
        <f t="shared" si="0"/>
        <v>7358.7</v>
      </c>
      <c r="H9" s="62"/>
      <c r="I9" s="62">
        <f t="shared" si="5"/>
        <v>0</v>
      </c>
      <c r="J9" s="62"/>
      <c r="K9" s="62"/>
      <c r="L9" s="62"/>
      <c r="M9" s="62"/>
      <c r="N9" s="62">
        <f t="shared" si="3"/>
        <v>0</v>
      </c>
      <c r="O9" s="62"/>
      <c r="P9" s="62"/>
      <c r="Q9" s="62"/>
      <c r="R9" s="69"/>
      <c r="S9" s="69"/>
      <c r="T9" s="69">
        <f t="shared" si="4"/>
        <v>0</v>
      </c>
      <c r="U9" s="62"/>
      <c r="V9" s="70"/>
    </row>
    <row r="10" spans="1:246" ht="25.5" customHeight="1">
      <c r="A10" s="59" t="s">
        <v>39</v>
      </c>
      <c r="B10" s="60">
        <v>1</v>
      </c>
      <c r="C10" s="62"/>
      <c r="D10" s="62">
        <f t="shared" si="1"/>
        <v>407.08</v>
      </c>
      <c r="E10" s="62">
        <f t="shared" si="2"/>
        <v>407.08</v>
      </c>
      <c r="F10" s="62">
        <v>407.08</v>
      </c>
      <c r="G10" s="62">
        <f t="shared" si="0"/>
        <v>407.08</v>
      </c>
      <c r="H10" s="62"/>
      <c r="I10" s="62">
        <f t="shared" si="5"/>
        <v>0</v>
      </c>
      <c r="J10" s="62"/>
      <c r="K10" s="62"/>
      <c r="L10" s="62"/>
      <c r="M10" s="62"/>
      <c r="N10" s="62">
        <f t="shared" si="3"/>
        <v>0</v>
      </c>
      <c r="O10" s="62"/>
      <c r="P10" s="62"/>
      <c r="Q10" s="62"/>
      <c r="R10" s="69">
        <f t="shared" ref="R10:R19" si="6">SUM(T10:U10)</f>
        <v>0</v>
      </c>
      <c r="S10" s="69"/>
      <c r="T10" s="69">
        <f t="shared" si="4"/>
        <v>0</v>
      </c>
      <c r="U10" s="62"/>
      <c r="V10" s="70"/>
    </row>
    <row r="11" spans="1:246" ht="25.5" customHeight="1">
      <c r="A11" s="59" t="s">
        <v>40</v>
      </c>
      <c r="B11" s="60">
        <v>13</v>
      </c>
      <c r="C11" s="62"/>
      <c r="D11" s="62">
        <f t="shared" si="1"/>
        <v>4783.22</v>
      </c>
      <c r="E11" s="62">
        <f t="shared" si="2"/>
        <v>4783.22</v>
      </c>
      <c r="F11" s="62">
        <v>367.94</v>
      </c>
      <c r="G11" s="62">
        <f t="shared" si="0"/>
        <v>4783.22</v>
      </c>
      <c r="H11" s="62"/>
      <c r="I11" s="62">
        <f t="shared" si="5"/>
        <v>0</v>
      </c>
      <c r="J11" s="62"/>
      <c r="K11" s="62"/>
      <c r="L11" s="62"/>
      <c r="M11" s="62"/>
      <c r="N11" s="62">
        <f t="shared" si="3"/>
        <v>0</v>
      </c>
      <c r="O11" s="62"/>
      <c r="P11" s="62"/>
      <c r="Q11" s="62"/>
      <c r="R11" s="69">
        <f t="shared" si="6"/>
        <v>0</v>
      </c>
      <c r="S11" s="69"/>
      <c r="T11" s="69">
        <f t="shared" si="4"/>
        <v>0</v>
      </c>
      <c r="U11" s="62"/>
      <c r="V11" s="70"/>
    </row>
    <row r="12" spans="1:246" ht="25.5" customHeight="1">
      <c r="A12" s="59" t="s">
        <v>41</v>
      </c>
      <c r="B12" s="60">
        <v>1</v>
      </c>
      <c r="C12" s="62"/>
      <c r="D12" s="62">
        <f t="shared" si="1"/>
        <v>38.380000000000003</v>
      </c>
      <c r="E12" s="62">
        <f t="shared" si="2"/>
        <v>38.380000000000003</v>
      </c>
      <c r="F12" s="62">
        <f>35.32+3.06</f>
        <v>38.380000000000003</v>
      </c>
      <c r="G12" s="62">
        <f t="shared" si="0"/>
        <v>38.380000000000003</v>
      </c>
      <c r="H12" s="62"/>
      <c r="I12" s="62">
        <f t="shared" si="5"/>
        <v>0</v>
      </c>
      <c r="J12" s="62"/>
      <c r="K12" s="62"/>
      <c r="L12" s="62"/>
      <c r="M12" s="62"/>
      <c r="N12" s="62">
        <f t="shared" si="3"/>
        <v>0</v>
      </c>
      <c r="O12" s="62"/>
      <c r="P12" s="62"/>
      <c r="Q12" s="62"/>
      <c r="R12" s="69">
        <f t="shared" si="6"/>
        <v>0</v>
      </c>
      <c r="S12" s="69"/>
      <c r="T12" s="69">
        <f t="shared" si="4"/>
        <v>0</v>
      </c>
      <c r="U12" s="62"/>
      <c r="V12" s="70"/>
    </row>
    <row r="13" spans="1:246" ht="25.5" customHeight="1">
      <c r="A13" s="59"/>
      <c r="B13" s="63"/>
      <c r="C13" s="62"/>
      <c r="D13" s="62">
        <f t="shared" si="1"/>
        <v>0</v>
      </c>
      <c r="E13" s="62">
        <f t="shared" si="2"/>
        <v>0</v>
      </c>
      <c r="F13" s="62"/>
      <c r="G13" s="62">
        <f t="shared" si="0"/>
        <v>0</v>
      </c>
      <c r="H13" s="62"/>
      <c r="I13" s="62">
        <f t="shared" si="5"/>
        <v>0</v>
      </c>
      <c r="J13" s="62"/>
      <c r="K13" s="62"/>
      <c r="L13" s="62"/>
      <c r="M13" s="62"/>
      <c r="N13" s="62"/>
      <c r="O13" s="62"/>
      <c r="P13" s="62"/>
      <c r="Q13" s="62"/>
      <c r="R13" s="69">
        <f t="shared" si="6"/>
        <v>0</v>
      </c>
      <c r="S13" s="69"/>
      <c r="T13" s="69">
        <f t="shared" si="4"/>
        <v>0</v>
      </c>
      <c r="U13" s="62"/>
      <c r="V13" s="70"/>
    </row>
    <row r="14" spans="1:246" ht="25.5" customHeight="1">
      <c r="A14" s="59"/>
      <c r="B14" s="63"/>
      <c r="C14" s="62"/>
      <c r="D14" s="62">
        <f t="shared" si="1"/>
        <v>0</v>
      </c>
      <c r="E14" s="62">
        <f t="shared" si="2"/>
        <v>0</v>
      </c>
      <c r="F14" s="62"/>
      <c r="G14" s="62">
        <f t="shared" si="0"/>
        <v>0</v>
      </c>
      <c r="H14" s="62"/>
      <c r="I14" s="62">
        <f t="shared" si="5"/>
        <v>0</v>
      </c>
      <c r="J14" s="62"/>
      <c r="K14" s="62"/>
      <c r="L14" s="62"/>
      <c r="M14" s="62"/>
      <c r="N14" s="62"/>
      <c r="O14" s="62"/>
      <c r="P14" s="62"/>
      <c r="Q14" s="62"/>
      <c r="R14" s="69">
        <f t="shared" si="6"/>
        <v>0</v>
      </c>
      <c r="S14" s="69"/>
      <c r="T14" s="69">
        <f t="shared" si="4"/>
        <v>0</v>
      </c>
      <c r="U14" s="62"/>
      <c r="V14" s="70"/>
    </row>
    <row r="15" spans="1:246" ht="25.5" customHeight="1">
      <c r="A15" s="59"/>
      <c r="B15" s="63"/>
      <c r="C15" s="62"/>
      <c r="D15" s="62">
        <f t="shared" si="1"/>
        <v>0</v>
      </c>
      <c r="E15" s="62">
        <f t="shared" si="2"/>
        <v>0</v>
      </c>
      <c r="F15" s="62"/>
      <c r="G15" s="62">
        <f t="shared" si="0"/>
        <v>0</v>
      </c>
      <c r="H15" s="62"/>
      <c r="I15" s="62">
        <f t="shared" si="5"/>
        <v>0</v>
      </c>
      <c r="J15" s="62"/>
      <c r="K15" s="62"/>
      <c r="L15" s="62"/>
      <c r="M15" s="62"/>
      <c r="N15" s="62"/>
      <c r="O15" s="62"/>
      <c r="P15" s="62"/>
      <c r="Q15" s="62"/>
      <c r="R15" s="69">
        <f t="shared" si="6"/>
        <v>0</v>
      </c>
      <c r="S15" s="69"/>
      <c r="T15" s="69">
        <f t="shared" si="4"/>
        <v>0</v>
      </c>
      <c r="U15" s="62"/>
      <c r="V15" s="70"/>
    </row>
    <row r="16" spans="1:246" ht="25.5" customHeight="1">
      <c r="A16" s="59"/>
      <c r="B16" s="64"/>
      <c r="C16" s="62"/>
      <c r="D16" s="62">
        <f t="shared" si="1"/>
        <v>0</v>
      </c>
      <c r="E16" s="62">
        <f t="shared" si="2"/>
        <v>0</v>
      </c>
      <c r="F16" s="62"/>
      <c r="G16" s="62">
        <f t="shared" si="0"/>
        <v>0</v>
      </c>
      <c r="H16" s="62"/>
      <c r="I16" s="62">
        <f t="shared" si="5"/>
        <v>0</v>
      </c>
      <c r="J16" s="62"/>
      <c r="K16" s="62"/>
      <c r="L16" s="62"/>
      <c r="M16" s="62"/>
      <c r="N16" s="62"/>
      <c r="O16" s="62"/>
      <c r="P16" s="62"/>
      <c r="Q16" s="62"/>
      <c r="R16" s="69">
        <f t="shared" si="6"/>
        <v>0</v>
      </c>
      <c r="S16" s="69"/>
      <c r="T16" s="69">
        <f t="shared" si="4"/>
        <v>0</v>
      </c>
      <c r="U16" s="62"/>
      <c r="V16" s="70"/>
    </row>
    <row r="17" spans="1:248" ht="25.5" customHeight="1">
      <c r="A17" s="59"/>
      <c r="B17" s="64"/>
      <c r="C17" s="62"/>
      <c r="D17" s="62">
        <f t="shared" si="1"/>
        <v>0</v>
      </c>
      <c r="E17" s="62">
        <f t="shared" si="2"/>
        <v>0</v>
      </c>
      <c r="F17" s="62"/>
      <c r="G17" s="62">
        <f t="shared" si="0"/>
        <v>0</v>
      </c>
      <c r="H17" s="62"/>
      <c r="I17" s="62">
        <f t="shared" si="5"/>
        <v>0</v>
      </c>
      <c r="J17" s="62"/>
      <c r="K17" s="62"/>
      <c r="L17" s="62"/>
      <c r="M17" s="62"/>
      <c r="N17" s="62"/>
      <c r="O17" s="62"/>
      <c r="P17" s="62"/>
      <c r="Q17" s="62"/>
      <c r="R17" s="69">
        <f t="shared" si="6"/>
        <v>0</v>
      </c>
      <c r="S17" s="69"/>
      <c r="T17" s="69">
        <f t="shared" si="4"/>
        <v>0</v>
      </c>
      <c r="U17" s="62"/>
      <c r="V17" s="70"/>
    </row>
    <row r="18" spans="1:248" ht="25.5" customHeight="1">
      <c r="A18" s="59"/>
      <c r="B18" s="64"/>
      <c r="C18" s="62"/>
      <c r="D18" s="62">
        <f t="shared" si="1"/>
        <v>0</v>
      </c>
      <c r="E18" s="62">
        <f t="shared" si="2"/>
        <v>0</v>
      </c>
      <c r="F18" s="62"/>
      <c r="G18" s="62">
        <f t="shared" si="0"/>
        <v>0</v>
      </c>
      <c r="H18" s="62"/>
      <c r="I18" s="62">
        <f t="shared" si="5"/>
        <v>0</v>
      </c>
      <c r="J18" s="62"/>
      <c r="K18" s="62"/>
      <c r="L18" s="62"/>
      <c r="M18" s="62"/>
      <c r="N18" s="62"/>
      <c r="O18" s="62"/>
      <c r="P18" s="62"/>
      <c r="Q18" s="62"/>
      <c r="R18" s="69">
        <f t="shared" si="6"/>
        <v>0</v>
      </c>
      <c r="S18" s="69"/>
      <c r="T18" s="69">
        <f t="shared" si="4"/>
        <v>0</v>
      </c>
      <c r="U18" s="62"/>
      <c r="V18" s="70"/>
    </row>
    <row r="19" spans="1:248" ht="25.5" customHeight="1">
      <c r="A19" s="59"/>
      <c r="B19" s="64"/>
      <c r="C19" s="62"/>
      <c r="D19" s="62">
        <f t="shared" si="1"/>
        <v>0</v>
      </c>
      <c r="E19" s="62">
        <f t="shared" si="2"/>
        <v>0</v>
      </c>
      <c r="F19" s="62"/>
      <c r="G19" s="62">
        <f t="shared" si="0"/>
        <v>0</v>
      </c>
      <c r="H19" s="62"/>
      <c r="I19" s="62">
        <f t="shared" si="5"/>
        <v>0</v>
      </c>
      <c r="J19" s="62"/>
      <c r="K19" s="62"/>
      <c r="L19" s="62"/>
      <c r="M19" s="62"/>
      <c r="N19" s="62"/>
      <c r="O19" s="62"/>
      <c r="P19" s="62"/>
      <c r="Q19" s="62"/>
      <c r="R19" s="69">
        <f t="shared" si="6"/>
        <v>0</v>
      </c>
      <c r="S19" s="69"/>
      <c r="T19" s="69">
        <f t="shared" si="4"/>
        <v>0</v>
      </c>
      <c r="U19" s="62"/>
      <c r="V19" s="70"/>
    </row>
    <row r="20" spans="1:248" ht="25.5" customHeight="1">
      <c r="A20" s="104" t="s">
        <v>42</v>
      </c>
      <c r="B20" s="105"/>
      <c r="C20" s="65">
        <f>SUM(C6:C19)</f>
        <v>1466.17</v>
      </c>
      <c r="D20" s="65">
        <f t="shared" ref="D20:U20" si="7">SUM(D6:D19)</f>
        <v>15851.99</v>
      </c>
      <c r="E20" s="65">
        <f t="shared" si="7"/>
        <v>15155.7</v>
      </c>
      <c r="F20" s="65"/>
      <c r="G20" s="65">
        <f t="shared" si="7"/>
        <v>13378.67</v>
      </c>
      <c r="H20" s="65"/>
      <c r="I20" s="65">
        <f t="shared" si="7"/>
        <v>119.3</v>
      </c>
      <c r="J20" s="65">
        <f t="shared" si="7"/>
        <v>1001.15</v>
      </c>
      <c r="K20" s="65">
        <f t="shared" si="7"/>
        <v>601.74</v>
      </c>
      <c r="L20" s="65">
        <f t="shared" si="7"/>
        <v>54.84</v>
      </c>
      <c r="M20" s="65">
        <f t="shared" si="7"/>
        <v>0</v>
      </c>
      <c r="N20" s="65">
        <f t="shared" si="7"/>
        <v>598.79</v>
      </c>
      <c r="O20" s="65">
        <f t="shared" si="7"/>
        <v>300.77999999999997</v>
      </c>
      <c r="P20" s="65">
        <f t="shared" si="7"/>
        <v>91.87</v>
      </c>
      <c r="Q20" s="65">
        <f t="shared" si="7"/>
        <v>206.14</v>
      </c>
      <c r="R20" s="65">
        <f t="shared" si="7"/>
        <v>97.5</v>
      </c>
      <c r="S20" s="65">
        <f t="shared" si="7"/>
        <v>0</v>
      </c>
      <c r="T20" s="65">
        <f t="shared" si="7"/>
        <v>0</v>
      </c>
      <c r="U20" s="65">
        <f t="shared" si="7"/>
        <v>97.5</v>
      </c>
      <c r="V20" s="71"/>
    </row>
    <row r="21" spans="1:248" ht="25.5" customHeight="1">
      <c r="A21" s="106" t="s">
        <v>43</v>
      </c>
      <c r="B21" s="107"/>
      <c r="C21" s="107"/>
      <c r="D21" s="107"/>
      <c r="E21" s="107"/>
      <c r="F21" s="107"/>
      <c r="G21" s="107"/>
      <c r="H21" s="107"/>
      <c r="I21" s="67"/>
      <c r="J21" s="67"/>
      <c r="K21" s="67"/>
      <c r="L21" s="67"/>
      <c r="M21" s="67"/>
      <c r="N21" s="67"/>
      <c r="O21" s="67"/>
      <c r="P21" s="108" t="s">
        <v>44</v>
      </c>
      <c r="Q21" s="109"/>
      <c r="R21" s="109"/>
      <c r="S21" s="109"/>
      <c r="T21" s="109"/>
      <c r="U21" s="109"/>
      <c r="V21" s="109"/>
    </row>
    <row r="22" spans="1:248" ht="14.25" customHeight="1">
      <c r="A22" s="107"/>
      <c r="B22" s="107"/>
      <c r="C22" s="107"/>
      <c r="D22" s="107"/>
      <c r="E22" s="107"/>
      <c r="F22" s="107"/>
      <c r="G22" s="107"/>
      <c r="H22" s="66"/>
      <c r="I22" s="66"/>
      <c r="J22" s="66"/>
      <c r="K22" s="66"/>
      <c r="L22" s="67"/>
      <c r="M22" s="67"/>
      <c r="N22" s="67"/>
      <c r="O22" s="67"/>
      <c r="P22" s="109"/>
      <c r="Q22" s="109"/>
      <c r="R22" s="109"/>
      <c r="S22" s="109"/>
      <c r="T22" s="109"/>
      <c r="U22" s="109"/>
      <c r="V22" s="81"/>
      <c r="W22"/>
      <c r="X22"/>
      <c r="Y22"/>
      <c r="IH22" s="34"/>
      <c r="II22" s="34"/>
      <c r="IJ22" s="34"/>
      <c r="IK22" s="34"/>
      <c r="IL22" s="34"/>
      <c r="IM22" s="34"/>
      <c r="IN22" s="34"/>
    </row>
  </sheetData>
  <mergeCells count="28">
    <mergeCell ref="U4:U5"/>
    <mergeCell ref="V3:V5"/>
    <mergeCell ref="N4:N5"/>
    <mergeCell ref="O4:O5"/>
    <mergeCell ref="P4:P5"/>
    <mergeCell ref="Q4:Q5"/>
    <mergeCell ref="R4:R5"/>
    <mergeCell ref="A20:B20"/>
    <mergeCell ref="A21:H21"/>
    <mergeCell ref="P21:V21"/>
    <mergeCell ref="A22:G22"/>
    <mergeCell ref="P22:U22"/>
    <mergeCell ref="A1:V1"/>
    <mergeCell ref="E3:M3"/>
    <mergeCell ref="N3:Q3"/>
    <mergeCell ref="R3:U3"/>
    <mergeCell ref="F4:G4"/>
    <mergeCell ref="H4:I4"/>
    <mergeCell ref="S4:T4"/>
    <mergeCell ref="A3:A5"/>
    <mergeCell ref="B3:B5"/>
    <mergeCell ref="C3:C5"/>
    <mergeCell ref="D3:D5"/>
    <mergeCell ref="E4:E5"/>
    <mergeCell ref="J4:J5"/>
    <mergeCell ref="K4:K5"/>
    <mergeCell ref="L4:L5"/>
    <mergeCell ref="M4:M5"/>
  </mergeCells>
  <phoneticPr fontId="99" type="noConversion"/>
  <pageMargins left="0.74803149606299202" right="0.74803149606299202" top="0.98425196850393704" bottom="0.98425196850393704" header="0.511811023622047" footer="0.511811023622047"/>
  <pageSetup paperSize="8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Y31"/>
  <sheetViews>
    <sheetView showZeros="0" topLeftCell="A4" workbookViewId="0">
      <selection activeCell="A28" sqref="A28:D28"/>
    </sheetView>
  </sheetViews>
  <sheetFormatPr defaultColWidth="9" defaultRowHeight="14.35"/>
  <cols>
    <col min="1" max="1" width="9.87890625" style="72" customWidth="1"/>
    <col min="2" max="2" width="23.3515625" style="72" customWidth="1"/>
    <col min="3" max="3" width="26" style="72" customWidth="1"/>
    <col min="4" max="4" width="24.46875" style="72" customWidth="1"/>
    <col min="5" max="5" width="9" style="72"/>
    <col min="6" max="6" width="10.46875" style="72" customWidth="1"/>
    <col min="7" max="8" width="9" style="72"/>
    <col min="9" max="9" width="11.76171875" style="72" customWidth="1"/>
    <col min="10" max="16384" width="9" style="72"/>
  </cols>
  <sheetData>
    <row r="1" spans="1:233" ht="20.100000000000001" customHeight="1">
      <c r="A1" s="95" t="s">
        <v>0</v>
      </c>
      <c r="B1" s="95"/>
      <c r="C1" s="95"/>
      <c r="D1" s="95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3"/>
      <c r="GH1" s="73"/>
      <c r="GI1" s="73"/>
      <c r="GJ1" s="73"/>
      <c r="GK1" s="73"/>
      <c r="GL1" s="73"/>
      <c r="GM1" s="73"/>
      <c r="GN1" s="73"/>
      <c r="GO1" s="73"/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/>
      <c r="HQ1" s="73"/>
      <c r="HR1" s="73"/>
      <c r="HS1" s="73"/>
      <c r="HT1" s="73"/>
      <c r="HU1" s="73"/>
      <c r="HV1" s="73"/>
      <c r="HW1" s="73"/>
      <c r="HX1" s="73"/>
      <c r="HY1" s="73"/>
    </row>
    <row r="2" spans="1:233" ht="20.100000000000001" customHeight="1">
      <c r="A2" s="95"/>
      <c r="B2" s="95"/>
      <c r="C2" s="95"/>
      <c r="D2" s="95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</row>
    <row r="3" spans="1:233" ht="50.1" customHeight="1">
      <c r="A3" s="74" t="s">
        <v>1</v>
      </c>
      <c r="B3" s="75" t="s">
        <v>2</v>
      </c>
      <c r="C3" s="75" t="s">
        <v>3</v>
      </c>
      <c r="D3" s="76" t="s">
        <v>4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</row>
    <row r="4" spans="1:233" ht="28.5" customHeight="1">
      <c r="A4" s="94" t="str">
        <f>'2#'!B2</f>
        <v>2#</v>
      </c>
      <c r="B4" s="27" t="str">
        <f>[1]统9!F4</f>
        <v>住宅</v>
      </c>
      <c r="C4" s="77">
        <f>'2#'!G20</f>
        <v>11370.57</v>
      </c>
      <c r="D4" s="31"/>
      <c r="E4" s="73"/>
      <c r="F4" s="78">
        <f>C25*0.03</f>
        <v>411.61</v>
      </c>
      <c r="G4" s="73">
        <v>507.16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</row>
    <row r="5" spans="1:233" ht="18" customHeight="1">
      <c r="A5" s="94"/>
      <c r="B5" s="27" t="s">
        <v>5</v>
      </c>
      <c r="C5" s="77">
        <f>'2#'!I20</f>
        <v>1683.15</v>
      </c>
      <c r="D5" s="31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</row>
    <row r="6" spans="1:233" ht="18" customHeight="1">
      <c r="A6" s="94"/>
      <c r="B6" s="27" t="s">
        <v>6</v>
      </c>
      <c r="C6" s="77">
        <f>'2#'!J20</f>
        <v>0</v>
      </c>
      <c r="D6" s="31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</row>
    <row r="7" spans="1:233" ht="18" customHeight="1">
      <c r="A7" s="94"/>
      <c r="B7" s="27" t="s">
        <v>7</v>
      </c>
      <c r="C7" s="77">
        <f>'2#'!K20</f>
        <v>0</v>
      </c>
      <c r="D7" s="31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</row>
    <row r="8" spans="1:233" ht="18" customHeight="1">
      <c r="A8" s="94"/>
      <c r="B8" s="27" t="s">
        <v>8</v>
      </c>
      <c r="C8" s="77">
        <f>'2#'!L20</f>
        <v>0</v>
      </c>
      <c r="D8" s="31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</row>
    <row r="9" spans="1:233" ht="18" customHeight="1">
      <c r="A9" s="94"/>
      <c r="B9" s="27" t="s">
        <v>9</v>
      </c>
      <c r="C9" s="77">
        <f>'2#'!M20</f>
        <v>0</v>
      </c>
      <c r="D9" s="31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</row>
    <row r="10" spans="1:233" ht="18" customHeight="1">
      <c r="A10" s="94"/>
      <c r="B10" s="27" t="s">
        <v>10</v>
      </c>
      <c r="C10" s="77">
        <f>'2#'!O20</f>
        <v>0</v>
      </c>
      <c r="D10" s="31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</row>
    <row r="11" spans="1:233" ht="18" customHeight="1">
      <c r="A11" s="94"/>
      <c r="B11" s="27" t="s">
        <v>11</v>
      </c>
      <c r="C11" s="77">
        <f>'2#'!P20</f>
        <v>96.52</v>
      </c>
      <c r="D11" s="3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</row>
    <row r="12" spans="1:233" ht="18" customHeight="1">
      <c r="A12" s="94"/>
      <c r="B12" s="27" t="s">
        <v>12</v>
      </c>
      <c r="C12" s="77">
        <f>'2#'!Q20</f>
        <v>0</v>
      </c>
      <c r="D12" s="3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</row>
    <row r="13" spans="1:233" ht="18" customHeight="1">
      <c r="A13" s="94"/>
      <c r="B13" s="27" t="s">
        <v>13</v>
      </c>
      <c r="C13" s="77">
        <f>'2#'!T20</f>
        <v>467.97</v>
      </c>
      <c r="D13" s="3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</row>
    <row r="14" spans="1:233" ht="18" customHeight="1">
      <c r="A14" s="94"/>
      <c r="B14" s="27" t="s">
        <v>14</v>
      </c>
      <c r="C14" s="77">
        <f>'2#'!U20</f>
        <v>102.15</v>
      </c>
      <c r="D14" s="3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</row>
    <row r="15" spans="1:233" ht="18" customHeight="1">
      <c r="A15" s="94"/>
      <c r="B15" s="27"/>
      <c r="C15" s="77"/>
      <c r="D15" s="3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</row>
    <row r="16" spans="1:233" ht="18" customHeight="1">
      <c r="A16" s="94"/>
      <c r="B16" s="27"/>
      <c r="C16" s="77"/>
      <c r="D16" s="3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</row>
    <row r="17" spans="1:233" ht="18" customHeight="1">
      <c r="A17" s="94"/>
      <c r="B17" s="27"/>
      <c r="C17" s="77"/>
      <c r="D17" s="3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</row>
    <row r="18" spans="1:233" ht="18" customHeight="1">
      <c r="A18" s="94"/>
      <c r="B18" s="27"/>
      <c r="C18" s="79"/>
      <c r="D18" s="3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</row>
    <row r="19" spans="1:233" ht="18" customHeight="1">
      <c r="A19" s="94"/>
      <c r="B19" s="27"/>
      <c r="C19" s="77"/>
      <c r="D19" s="3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</row>
    <row r="20" spans="1:233" ht="18" customHeight="1">
      <c r="A20" s="94"/>
      <c r="B20" s="27"/>
      <c r="C20" s="77"/>
      <c r="D20" s="3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</row>
    <row r="21" spans="1:233" ht="18" customHeight="1">
      <c r="A21" s="94"/>
      <c r="B21" s="27"/>
      <c r="C21" s="77"/>
      <c r="D21" s="3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</row>
    <row r="22" spans="1:233" ht="18" customHeight="1">
      <c r="A22" s="94"/>
      <c r="B22" s="27"/>
      <c r="C22" s="77"/>
      <c r="D22" s="3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</row>
    <row r="23" spans="1:233" ht="18" customHeight="1">
      <c r="A23" s="94"/>
      <c r="B23" s="27"/>
      <c r="C23" s="77"/>
      <c r="D23" s="3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</row>
    <row r="24" spans="1:233" ht="18" customHeight="1">
      <c r="A24" s="94"/>
      <c r="B24" s="27"/>
      <c r="C24" s="77"/>
      <c r="D24" s="31"/>
      <c r="E24" s="73"/>
      <c r="F24" s="80">
        <f>SUM(C4:C9)</f>
        <v>13053.72</v>
      </c>
      <c r="G24" s="80">
        <f>C10+C11+C12+C13</f>
        <v>564.49</v>
      </c>
      <c r="H24" s="78">
        <f>C14</f>
        <v>102.15</v>
      </c>
      <c r="I24" s="80">
        <f>F24+G24+H24</f>
        <v>13720.36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</row>
    <row r="25" spans="1:233" ht="18" customHeight="1">
      <c r="A25" s="82" t="s">
        <v>15</v>
      </c>
      <c r="B25" s="83"/>
      <c r="C25" s="77">
        <f>SUM(C4:C24)</f>
        <v>13720.36</v>
      </c>
      <c r="D25" s="3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</row>
    <row r="26" spans="1:233" ht="18" customHeight="1">
      <c r="A26" s="84" t="s">
        <v>16</v>
      </c>
      <c r="B26" s="85"/>
      <c r="C26" s="85"/>
      <c r="D26" s="86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</row>
    <row r="27" spans="1:233" ht="18" customHeight="1">
      <c r="A27" s="87" t="s">
        <v>17</v>
      </c>
      <c r="B27" s="88"/>
      <c r="C27" s="88"/>
      <c r="D27" s="89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</row>
    <row r="28" spans="1:233" ht="18" customHeight="1">
      <c r="A28" s="87" t="str">
        <f>"2、本栋总建筑面积："&amp;C25&amp;"平方米，计容建筑面积："&amp;F24&amp;"平方米，建筑基底面积：1075.18平方米"</f>
        <v>2、本栋总建筑面积：13720.36平方米，计容建筑面积：13053.72平方米，建筑基底面积：1075.18平方米</v>
      </c>
      <c r="B28" s="88"/>
      <c r="C28" s="88"/>
      <c r="D28" s="89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</row>
    <row r="29" spans="1:233" ht="18" customHeight="1">
      <c r="A29" s="87" t="s">
        <v>18</v>
      </c>
      <c r="B29" s="88"/>
      <c r="C29" s="88"/>
      <c r="D29" s="89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</row>
    <row r="30" spans="1:233" ht="24.95" customHeight="1">
      <c r="A30" s="90" t="s">
        <v>45</v>
      </c>
      <c r="B30" s="91"/>
      <c r="C30" s="91"/>
      <c r="D30" s="92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</row>
    <row r="31" spans="1:233" ht="23.25" customHeight="1">
      <c r="A31" s="93" t="s">
        <v>46</v>
      </c>
      <c r="B31" s="93"/>
      <c r="C31" s="93"/>
      <c r="D31" s="9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</row>
  </sheetData>
  <mergeCells count="9">
    <mergeCell ref="A30:D30"/>
    <mergeCell ref="A31:D31"/>
    <mergeCell ref="A4:A24"/>
    <mergeCell ref="A1:D2"/>
    <mergeCell ref="A25:B25"/>
    <mergeCell ref="A26:D26"/>
    <mergeCell ref="A27:D27"/>
    <mergeCell ref="A28:D28"/>
    <mergeCell ref="A29:D29"/>
  </mergeCells>
  <phoneticPr fontId="99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L21"/>
  <sheetViews>
    <sheetView showZeros="0" tabSelected="1" view="pageBreakPreview" topLeftCell="C1" zoomScale="85" zoomScaleNormal="100" workbookViewId="0">
      <selection activeCell="K6" sqref="K6"/>
    </sheetView>
  </sheetViews>
  <sheetFormatPr defaultColWidth="7.87890625" defaultRowHeight="15.35"/>
  <cols>
    <col min="1" max="1" width="12.1171875" style="34" customWidth="1"/>
    <col min="2" max="2" width="5.46875" style="34" customWidth="1"/>
    <col min="3" max="3" width="10" style="34" customWidth="1"/>
    <col min="4" max="5" width="13.234375" style="34" customWidth="1"/>
    <col min="6" max="6" width="15.1171875" style="35" customWidth="1"/>
    <col min="7" max="11" width="14.234375" style="35" customWidth="1"/>
    <col min="12" max="20" width="11.64453125" style="35" customWidth="1"/>
    <col min="21" max="21" width="11.64453125" style="34" customWidth="1"/>
    <col min="22" max="241" width="7.87890625" style="34"/>
  </cols>
  <sheetData>
    <row r="1" spans="1:246" ht="23">
      <c r="A1" s="96" t="s">
        <v>21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</row>
    <row r="2" spans="1:246" ht="12.75" customHeight="1">
      <c r="A2" s="53" t="s">
        <v>22</v>
      </c>
      <c r="B2" s="55" t="s">
        <v>47</v>
      </c>
      <c r="C2" s="55"/>
      <c r="D2" s="55"/>
      <c r="E2" s="56"/>
      <c r="F2" s="57"/>
      <c r="G2" s="57"/>
      <c r="H2" s="5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68"/>
      <c r="W2"/>
      <c r="IH2" s="34"/>
      <c r="II2" s="34"/>
      <c r="IJ2" s="34"/>
      <c r="IK2" s="34"/>
      <c r="IL2" s="34"/>
    </row>
    <row r="3" spans="1:246" s="50" customFormat="1" ht="18" customHeight="1">
      <c r="A3" s="110" t="s">
        <v>24</v>
      </c>
      <c r="B3" s="113" t="s">
        <v>25</v>
      </c>
      <c r="C3" s="113" t="s">
        <v>26</v>
      </c>
      <c r="D3" s="113" t="s">
        <v>27</v>
      </c>
      <c r="E3" s="97" t="s">
        <v>28</v>
      </c>
      <c r="F3" s="98"/>
      <c r="G3" s="98"/>
      <c r="H3" s="98"/>
      <c r="I3" s="98"/>
      <c r="J3" s="98"/>
      <c r="K3" s="98"/>
      <c r="L3" s="98"/>
      <c r="M3" s="98"/>
      <c r="N3" s="97" t="s">
        <v>29</v>
      </c>
      <c r="O3" s="98"/>
      <c r="P3" s="98"/>
      <c r="Q3" s="99"/>
      <c r="R3" s="97" t="s">
        <v>30</v>
      </c>
      <c r="S3" s="98"/>
      <c r="T3" s="98"/>
      <c r="U3" s="99"/>
      <c r="V3" s="120" t="s">
        <v>4</v>
      </c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</row>
    <row r="4" spans="1:246" s="50" customFormat="1" ht="21.75" customHeight="1">
      <c r="A4" s="111"/>
      <c r="B4" s="114"/>
      <c r="C4" s="114"/>
      <c r="D4" s="114"/>
      <c r="E4" s="116" t="s">
        <v>31</v>
      </c>
      <c r="F4" s="100" t="s">
        <v>32</v>
      </c>
      <c r="G4" s="101"/>
      <c r="H4" s="193" t="s">
        <v>156</v>
      </c>
      <c r="I4" s="101"/>
      <c r="J4" s="118" t="s">
        <v>6</v>
      </c>
      <c r="K4" s="118" t="s">
        <v>7</v>
      </c>
      <c r="L4" s="118" t="s">
        <v>8</v>
      </c>
      <c r="M4" s="118" t="s">
        <v>9</v>
      </c>
      <c r="N4" s="116" t="s">
        <v>31</v>
      </c>
      <c r="O4" s="118" t="s">
        <v>10</v>
      </c>
      <c r="P4" s="118" t="s">
        <v>11</v>
      </c>
      <c r="Q4" s="116" t="s">
        <v>12</v>
      </c>
      <c r="R4" s="116" t="s">
        <v>31</v>
      </c>
      <c r="S4" s="102" t="s">
        <v>13</v>
      </c>
      <c r="T4" s="103"/>
      <c r="U4" s="118" t="s">
        <v>14</v>
      </c>
      <c r="V4" s="121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</row>
    <row r="5" spans="1:246" s="50" customFormat="1" ht="24.95" customHeight="1">
      <c r="A5" s="112"/>
      <c r="B5" s="115"/>
      <c r="C5" s="115"/>
      <c r="D5" s="115"/>
      <c r="E5" s="117"/>
      <c r="F5" s="58" t="s">
        <v>33</v>
      </c>
      <c r="G5" s="58" t="s">
        <v>34</v>
      </c>
      <c r="H5" s="58" t="s">
        <v>33</v>
      </c>
      <c r="I5" s="58" t="s">
        <v>34</v>
      </c>
      <c r="J5" s="119"/>
      <c r="K5" s="119"/>
      <c r="L5" s="119"/>
      <c r="M5" s="119"/>
      <c r="N5" s="117"/>
      <c r="O5" s="119"/>
      <c r="P5" s="119"/>
      <c r="Q5" s="117"/>
      <c r="R5" s="117"/>
      <c r="S5" s="58" t="s">
        <v>33</v>
      </c>
      <c r="T5" s="58" t="s">
        <v>34</v>
      </c>
      <c r="U5" s="119"/>
      <c r="V5" s="121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</row>
    <row r="6" spans="1:246" ht="25.5" customHeight="1">
      <c r="A6" s="59" t="s">
        <v>35</v>
      </c>
      <c r="B6" s="60">
        <v>1</v>
      </c>
      <c r="C6" s="61">
        <v>1075.18</v>
      </c>
      <c r="D6" s="62">
        <f>E6+N6+R6</f>
        <v>1075.18</v>
      </c>
      <c r="E6" s="62">
        <f>G6+I6+J6+K6+L6+M6</f>
        <v>876.51</v>
      </c>
      <c r="F6" s="62">
        <f>4.9+9.24+142.45+9.55+4.28</f>
        <v>170.42</v>
      </c>
      <c r="G6" s="62">
        <f t="shared" ref="G6:G19" si="0">F6*B6</f>
        <v>170.42</v>
      </c>
      <c r="H6" s="62">
        <f>587.45+40.5+78.14</f>
        <v>706.09</v>
      </c>
      <c r="I6" s="62">
        <f>H6*B6</f>
        <v>706.09</v>
      </c>
      <c r="J6" s="62"/>
      <c r="K6" s="62"/>
      <c r="L6" s="62"/>
      <c r="M6" s="62"/>
      <c r="N6" s="62">
        <f>O6+P6+Q6</f>
        <v>96.52</v>
      </c>
      <c r="O6" s="62"/>
      <c r="P6" s="62">
        <v>96.52</v>
      </c>
      <c r="Q6" s="62"/>
      <c r="R6" s="69">
        <f>SUM(T6:U6)</f>
        <v>102.15</v>
      </c>
      <c r="S6" s="69"/>
      <c r="T6" s="69">
        <f>S6*B6</f>
        <v>0</v>
      </c>
      <c r="U6" s="69">
        <v>102.15</v>
      </c>
      <c r="V6" s="44"/>
    </row>
    <row r="7" spans="1:246" s="51" customFormat="1" ht="25.5" customHeight="1">
      <c r="A7" s="59" t="s">
        <v>36</v>
      </c>
      <c r="B7" s="60">
        <v>1</v>
      </c>
      <c r="C7" s="61"/>
      <c r="D7" s="62">
        <f t="shared" ref="D7:D19" si="1">E7+N7+R7</f>
        <v>1016.35</v>
      </c>
      <c r="E7" s="62">
        <f t="shared" ref="E7:E19" si="2">G7+I7+J7+K7+L7+M7</f>
        <v>1016.35</v>
      </c>
      <c r="F7" s="62">
        <f>6.26+34.51+9.55</f>
        <v>50.32</v>
      </c>
      <c r="G7" s="62">
        <f t="shared" si="0"/>
        <v>50.32</v>
      </c>
      <c r="H7" s="62">
        <v>966.03</v>
      </c>
      <c r="I7" s="62">
        <f t="shared" ref="I7:I10" si="3">H7*B7</f>
        <v>966.03</v>
      </c>
      <c r="J7" s="62"/>
      <c r="K7" s="62"/>
      <c r="L7" s="62"/>
      <c r="M7" s="62"/>
      <c r="N7" s="62">
        <f t="shared" ref="N7:N12" si="4">O7+P7+Q7</f>
        <v>0</v>
      </c>
      <c r="O7" s="62"/>
      <c r="P7" s="62"/>
      <c r="Q7" s="62"/>
      <c r="R7" s="69">
        <f t="shared" ref="R7:R8" si="5">SUM(T7:U7)</f>
        <v>0</v>
      </c>
      <c r="S7" s="69"/>
      <c r="T7" s="69">
        <f t="shared" ref="T7:T19" si="6">S7*B7</f>
        <v>0</v>
      </c>
      <c r="U7" s="69"/>
      <c r="V7" s="4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</row>
    <row r="8" spans="1:246" ht="25.5" customHeight="1">
      <c r="A8" s="59" t="s">
        <v>37</v>
      </c>
      <c r="B8" s="60">
        <v>1</v>
      </c>
      <c r="C8" s="61"/>
      <c r="D8" s="62">
        <f t="shared" si="1"/>
        <v>551.09</v>
      </c>
      <c r="E8" s="62">
        <f t="shared" si="2"/>
        <v>83.12</v>
      </c>
      <c r="F8" s="62">
        <f>72.09</f>
        <v>72.09</v>
      </c>
      <c r="G8" s="62">
        <f t="shared" si="0"/>
        <v>72.09</v>
      </c>
      <c r="H8" s="62">
        <f>5.53+0.89+4.61</f>
        <v>11.03</v>
      </c>
      <c r="I8" s="62">
        <f t="shared" si="3"/>
        <v>11.03</v>
      </c>
      <c r="J8" s="62"/>
      <c r="K8" s="62"/>
      <c r="L8" s="62"/>
      <c r="M8" s="62"/>
      <c r="N8" s="62">
        <f t="shared" si="4"/>
        <v>0</v>
      </c>
      <c r="O8" s="62"/>
      <c r="P8" s="62"/>
      <c r="Q8" s="62"/>
      <c r="R8" s="69">
        <f t="shared" si="5"/>
        <v>467.97</v>
      </c>
      <c r="S8" s="69">
        <v>467.97</v>
      </c>
      <c r="T8" s="69">
        <f t="shared" si="6"/>
        <v>467.97</v>
      </c>
      <c r="U8" s="69"/>
      <c r="V8" s="44"/>
    </row>
    <row r="9" spans="1:246" ht="25.5" customHeight="1">
      <c r="A9" s="59" t="s">
        <v>48</v>
      </c>
      <c r="B9" s="60">
        <v>25</v>
      </c>
      <c r="C9" s="62"/>
      <c r="D9" s="62">
        <f t="shared" si="1"/>
        <v>11002.75</v>
      </c>
      <c r="E9" s="62">
        <f t="shared" si="2"/>
        <v>11002.75</v>
      </c>
      <c r="F9" s="62">
        <v>440.11</v>
      </c>
      <c r="G9" s="62">
        <f t="shared" si="0"/>
        <v>11002.75</v>
      </c>
      <c r="H9" s="62"/>
      <c r="I9" s="62">
        <f t="shared" si="3"/>
        <v>0</v>
      </c>
      <c r="J9" s="62"/>
      <c r="K9" s="62"/>
      <c r="L9" s="62"/>
      <c r="M9" s="62"/>
      <c r="N9" s="62">
        <f t="shared" si="4"/>
        <v>0</v>
      </c>
      <c r="O9" s="62"/>
      <c r="P9" s="62"/>
      <c r="Q9" s="62"/>
      <c r="R9" s="69"/>
      <c r="S9" s="69"/>
      <c r="T9" s="69">
        <f t="shared" si="6"/>
        <v>0</v>
      </c>
      <c r="U9" s="62"/>
      <c r="V9" s="70"/>
    </row>
    <row r="10" spans="1:246" ht="25.5" customHeight="1">
      <c r="A10" s="59" t="s">
        <v>49</v>
      </c>
      <c r="B10" s="60">
        <v>1</v>
      </c>
      <c r="C10" s="62"/>
      <c r="D10" s="62">
        <f t="shared" si="1"/>
        <v>74.989999999999995</v>
      </c>
      <c r="E10" s="62">
        <f t="shared" si="2"/>
        <v>74.989999999999995</v>
      </c>
      <c r="F10" s="62">
        <v>74.989999999999995</v>
      </c>
      <c r="G10" s="62">
        <f t="shared" si="0"/>
        <v>74.989999999999995</v>
      </c>
      <c r="H10" s="62"/>
      <c r="I10" s="62">
        <f t="shared" si="3"/>
        <v>0</v>
      </c>
      <c r="J10" s="62"/>
      <c r="K10" s="62"/>
      <c r="L10" s="62"/>
      <c r="M10" s="62"/>
      <c r="N10" s="62">
        <f t="shared" si="4"/>
        <v>0</v>
      </c>
      <c r="O10" s="62"/>
      <c r="P10" s="62"/>
      <c r="Q10" s="62"/>
      <c r="R10" s="69">
        <f t="shared" ref="R10:R19" si="7">SUM(T10:U10)</f>
        <v>0</v>
      </c>
      <c r="S10" s="69"/>
      <c r="T10" s="69">
        <f t="shared" si="6"/>
        <v>0</v>
      </c>
      <c r="U10" s="62"/>
      <c r="V10" s="70"/>
    </row>
    <row r="11" spans="1:246" ht="25.5" customHeight="1">
      <c r="A11" s="59"/>
      <c r="B11" s="60"/>
      <c r="C11" s="62"/>
      <c r="D11" s="62">
        <f t="shared" si="1"/>
        <v>0</v>
      </c>
      <c r="E11" s="62">
        <f t="shared" si="2"/>
        <v>0</v>
      </c>
      <c r="F11" s="62"/>
      <c r="G11" s="62">
        <f t="shared" si="0"/>
        <v>0</v>
      </c>
      <c r="H11" s="62"/>
      <c r="I11" s="62">
        <f t="shared" ref="I11:I19" si="8">H11*B11</f>
        <v>0</v>
      </c>
      <c r="J11" s="62"/>
      <c r="K11" s="62"/>
      <c r="L11" s="62"/>
      <c r="M11" s="62"/>
      <c r="N11" s="62">
        <f t="shared" si="4"/>
        <v>0</v>
      </c>
      <c r="O11" s="62"/>
      <c r="P11" s="62"/>
      <c r="Q11" s="62"/>
      <c r="R11" s="69">
        <f t="shared" si="7"/>
        <v>0</v>
      </c>
      <c r="S11" s="69"/>
      <c r="T11" s="69">
        <f t="shared" si="6"/>
        <v>0</v>
      </c>
      <c r="U11" s="62"/>
      <c r="V11" s="70"/>
    </row>
    <row r="12" spans="1:246" ht="25.5" customHeight="1">
      <c r="A12" s="59"/>
      <c r="B12" s="60"/>
      <c r="C12" s="62"/>
      <c r="D12" s="62">
        <f t="shared" si="1"/>
        <v>0</v>
      </c>
      <c r="E12" s="62">
        <f t="shared" si="2"/>
        <v>0</v>
      </c>
      <c r="F12" s="62"/>
      <c r="G12" s="62">
        <f t="shared" si="0"/>
        <v>0</v>
      </c>
      <c r="H12" s="62"/>
      <c r="I12" s="62">
        <f t="shared" si="8"/>
        <v>0</v>
      </c>
      <c r="J12" s="62"/>
      <c r="K12" s="62"/>
      <c r="L12" s="62"/>
      <c r="M12" s="62"/>
      <c r="N12" s="62">
        <f t="shared" si="4"/>
        <v>0</v>
      </c>
      <c r="O12" s="62"/>
      <c r="P12" s="62"/>
      <c r="Q12" s="62"/>
      <c r="R12" s="69">
        <f t="shared" si="7"/>
        <v>0</v>
      </c>
      <c r="S12" s="69"/>
      <c r="T12" s="69">
        <f t="shared" si="6"/>
        <v>0</v>
      </c>
      <c r="U12" s="62"/>
      <c r="V12" s="70"/>
    </row>
    <row r="13" spans="1:246" ht="25.5" customHeight="1">
      <c r="A13" s="59"/>
      <c r="B13" s="63"/>
      <c r="C13" s="62"/>
      <c r="D13" s="62">
        <f t="shared" si="1"/>
        <v>0</v>
      </c>
      <c r="E13" s="62">
        <f t="shared" si="2"/>
        <v>0</v>
      </c>
      <c r="F13" s="62"/>
      <c r="G13" s="62">
        <f t="shared" si="0"/>
        <v>0</v>
      </c>
      <c r="H13" s="62"/>
      <c r="I13" s="62">
        <f t="shared" si="8"/>
        <v>0</v>
      </c>
      <c r="J13" s="62"/>
      <c r="K13" s="62"/>
      <c r="L13" s="62"/>
      <c r="M13" s="62"/>
      <c r="N13" s="62"/>
      <c r="O13" s="62"/>
      <c r="P13" s="62"/>
      <c r="Q13" s="62"/>
      <c r="R13" s="69">
        <f t="shared" si="7"/>
        <v>0</v>
      </c>
      <c r="S13" s="69"/>
      <c r="T13" s="69">
        <f t="shared" si="6"/>
        <v>0</v>
      </c>
      <c r="U13" s="62"/>
      <c r="V13" s="70"/>
    </row>
    <row r="14" spans="1:246" ht="25.5" customHeight="1">
      <c r="A14" s="59"/>
      <c r="B14" s="63"/>
      <c r="C14" s="62"/>
      <c r="D14" s="62">
        <f t="shared" si="1"/>
        <v>0</v>
      </c>
      <c r="E14" s="62">
        <f t="shared" si="2"/>
        <v>0</v>
      </c>
      <c r="F14" s="62"/>
      <c r="G14" s="62">
        <f t="shared" si="0"/>
        <v>0</v>
      </c>
      <c r="H14" s="62"/>
      <c r="I14" s="62">
        <f t="shared" si="8"/>
        <v>0</v>
      </c>
      <c r="J14" s="62"/>
      <c r="K14" s="62"/>
      <c r="L14" s="62"/>
      <c r="M14" s="62"/>
      <c r="N14" s="62"/>
      <c r="O14" s="62"/>
      <c r="P14" s="62"/>
      <c r="Q14" s="62"/>
      <c r="R14" s="69">
        <f t="shared" si="7"/>
        <v>0</v>
      </c>
      <c r="S14" s="69"/>
      <c r="T14" s="69">
        <f t="shared" si="6"/>
        <v>0</v>
      </c>
      <c r="U14" s="62"/>
      <c r="V14" s="70"/>
    </row>
    <row r="15" spans="1:246" ht="25.5" customHeight="1">
      <c r="A15" s="59"/>
      <c r="B15" s="63"/>
      <c r="C15" s="62"/>
      <c r="D15" s="62">
        <f t="shared" si="1"/>
        <v>0</v>
      </c>
      <c r="E15" s="62">
        <f t="shared" si="2"/>
        <v>0</v>
      </c>
      <c r="F15" s="62"/>
      <c r="G15" s="62">
        <f t="shared" si="0"/>
        <v>0</v>
      </c>
      <c r="H15" s="62"/>
      <c r="I15" s="62">
        <f t="shared" si="8"/>
        <v>0</v>
      </c>
      <c r="J15" s="62"/>
      <c r="K15" s="62"/>
      <c r="L15" s="62"/>
      <c r="M15" s="62"/>
      <c r="N15" s="62"/>
      <c r="O15" s="62"/>
      <c r="P15" s="62"/>
      <c r="Q15" s="62"/>
      <c r="R15" s="69">
        <f t="shared" si="7"/>
        <v>0</v>
      </c>
      <c r="S15" s="69"/>
      <c r="T15" s="69">
        <f t="shared" si="6"/>
        <v>0</v>
      </c>
      <c r="U15" s="62"/>
      <c r="V15" s="70"/>
    </row>
    <row r="16" spans="1:246" ht="25.5" customHeight="1">
      <c r="A16" s="59"/>
      <c r="B16" s="64"/>
      <c r="C16" s="62"/>
      <c r="D16" s="62">
        <f t="shared" si="1"/>
        <v>0</v>
      </c>
      <c r="E16" s="62">
        <f t="shared" si="2"/>
        <v>0</v>
      </c>
      <c r="F16" s="62"/>
      <c r="G16" s="62">
        <f t="shared" si="0"/>
        <v>0</v>
      </c>
      <c r="H16" s="62"/>
      <c r="I16" s="62">
        <f t="shared" si="8"/>
        <v>0</v>
      </c>
      <c r="J16" s="62"/>
      <c r="K16" s="62"/>
      <c r="L16" s="62"/>
      <c r="M16" s="62"/>
      <c r="N16" s="62"/>
      <c r="O16" s="62"/>
      <c r="P16" s="62"/>
      <c r="Q16" s="62"/>
      <c r="R16" s="69">
        <f t="shared" si="7"/>
        <v>0</v>
      </c>
      <c r="S16" s="69"/>
      <c r="T16" s="69">
        <f t="shared" si="6"/>
        <v>0</v>
      </c>
      <c r="U16" s="62"/>
      <c r="V16" s="70"/>
    </row>
    <row r="17" spans="1:22" ht="25.5" customHeight="1">
      <c r="A17" s="59"/>
      <c r="B17" s="64"/>
      <c r="C17" s="62"/>
      <c r="D17" s="62">
        <f t="shared" si="1"/>
        <v>0</v>
      </c>
      <c r="E17" s="62">
        <f t="shared" si="2"/>
        <v>0</v>
      </c>
      <c r="F17" s="62"/>
      <c r="G17" s="62">
        <f t="shared" si="0"/>
        <v>0</v>
      </c>
      <c r="H17" s="62"/>
      <c r="I17" s="62">
        <f t="shared" si="8"/>
        <v>0</v>
      </c>
      <c r="J17" s="62"/>
      <c r="K17" s="62"/>
      <c r="L17" s="62"/>
      <c r="M17" s="62"/>
      <c r="N17" s="62"/>
      <c r="O17" s="62"/>
      <c r="P17" s="62"/>
      <c r="Q17" s="62"/>
      <c r="R17" s="69">
        <f t="shared" si="7"/>
        <v>0</v>
      </c>
      <c r="S17" s="69"/>
      <c r="T17" s="69">
        <f t="shared" si="6"/>
        <v>0</v>
      </c>
      <c r="U17" s="62"/>
      <c r="V17" s="70"/>
    </row>
    <row r="18" spans="1:22" ht="25.5" customHeight="1">
      <c r="A18" s="59"/>
      <c r="B18" s="64"/>
      <c r="C18" s="62"/>
      <c r="D18" s="62">
        <f t="shared" si="1"/>
        <v>0</v>
      </c>
      <c r="E18" s="62">
        <f t="shared" si="2"/>
        <v>0</v>
      </c>
      <c r="F18" s="62"/>
      <c r="G18" s="62">
        <f t="shared" si="0"/>
        <v>0</v>
      </c>
      <c r="H18" s="62"/>
      <c r="I18" s="62">
        <f t="shared" si="8"/>
        <v>0</v>
      </c>
      <c r="J18" s="62"/>
      <c r="K18" s="62"/>
      <c r="L18" s="62"/>
      <c r="M18" s="62"/>
      <c r="N18" s="62"/>
      <c r="O18" s="62"/>
      <c r="P18" s="62"/>
      <c r="Q18" s="62"/>
      <c r="R18" s="69">
        <f t="shared" si="7"/>
        <v>0</v>
      </c>
      <c r="S18" s="69"/>
      <c r="T18" s="69">
        <f t="shared" si="6"/>
        <v>0</v>
      </c>
      <c r="U18" s="62"/>
      <c r="V18" s="70"/>
    </row>
    <row r="19" spans="1:22" ht="25.5" customHeight="1">
      <c r="A19" s="59"/>
      <c r="B19" s="64"/>
      <c r="C19" s="62"/>
      <c r="D19" s="62">
        <f t="shared" si="1"/>
        <v>0</v>
      </c>
      <c r="E19" s="62">
        <f t="shared" si="2"/>
        <v>0</v>
      </c>
      <c r="F19" s="62"/>
      <c r="G19" s="62">
        <f t="shared" si="0"/>
        <v>0</v>
      </c>
      <c r="H19" s="62"/>
      <c r="I19" s="62">
        <f t="shared" si="8"/>
        <v>0</v>
      </c>
      <c r="J19" s="62"/>
      <c r="K19" s="62"/>
      <c r="L19" s="62"/>
      <c r="M19" s="62"/>
      <c r="N19" s="62"/>
      <c r="O19" s="62"/>
      <c r="P19" s="62"/>
      <c r="Q19" s="62"/>
      <c r="R19" s="69">
        <f t="shared" si="7"/>
        <v>0</v>
      </c>
      <c r="S19" s="69"/>
      <c r="T19" s="69">
        <f t="shared" si="6"/>
        <v>0</v>
      </c>
      <c r="U19" s="62"/>
      <c r="V19" s="70"/>
    </row>
    <row r="20" spans="1:22" ht="25.5" customHeight="1">
      <c r="A20" s="104" t="s">
        <v>42</v>
      </c>
      <c r="B20" s="105"/>
      <c r="C20" s="65">
        <f>SUM(C6:C19)</f>
        <v>1075.18</v>
      </c>
      <c r="D20" s="65">
        <f t="shared" ref="D20:U20" si="9">SUM(D6:D19)</f>
        <v>13720.36</v>
      </c>
      <c r="E20" s="65">
        <f t="shared" si="9"/>
        <v>13053.72</v>
      </c>
      <c r="F20" s="65"/>
      <c r="G20" s="65">
        <f t="shared" si="9"/>
        <v>11370.57</v>
      </c>
      <c r="H20" s="65"/>
      <c r="I20" s="65">
        <f t="shared" si="9"/>
        <v>1683.15</v>
      </c>
      <c r="J20" s="65">
        <f t="shared" si="9"/>
        <v>0</v>
      </c>
      <c r="K20" s="65">
        <f t="shared" si="9"/>
        <v>0</v>
      </c>
      <c r="L20" s="65">
        <f t="shared" si="9"/>
        <v>0</v>
      </c>
      <c r="M20" s="65">
        <f t="shared" si="9"/>
        <v>0</v>
      </c>
      <c r="N20" s="65">
        <f t="shared" si="9"/>
        <v>96.52</v>
      </c>
      <c r="O20" s="65">
        <f t="shared" si="9"/>
        <v>0</v>
      </c>
      <c r="P20" s="65">
        <f t="shared" si="9"/>
        <v>96.52</v>
      </c>
      <c r="Q20" s="65">
        <f t="shared" si="9"/>
        <v>0</v>
      </c>
      <c r="R20" s="65">
        <f t="shared" si="9"/>
        <v>570.12</v>
      </c>
      <c r="S20" s="65"/>
      <c r="T20" s="65">
        <f t="shared" si="9"/>
        <v>467.97</v>
      </c>
      <c r="U20" s="65">
        <f t="shared" si="9"/>
        <v>102.15</v>
      </c>
      <c r="V20" s="71"/>
    </row>
    <row r="21" spans="1:22" ht="25.5" customHeight="1">
      <c r="A21" s="106" t="s">
        <v>43</v>
      </c>
      <c r="B21" s="107"/>
      <c r="C21" s="107"/>
      <c r="D21" s="107"/>
      <c r="E21" s="107"/>
      <c r="F21" s="107"/>
      <c r="G21" s="107"/>
      <c r="H21" s="107"/>
      <c r="I21" s="67"/>
      <c r="J21" s="67"/>
      <c r="K21" s="67"/>
      <c r="L21" s="67"/>
      <c r="M21" s="67"/>
      <c r="N21" s="67"/>
      <c r="O21" s="67"/>
      <c r="P21" s="108" t="s">
        <v>50</v>
      </c>
      <c r="Q21" s="109"/>
      <c r="R21" s="109"/>
      <c r="S21" s="109"/>
      <c r="T21" s="109"/>
      <c r="U21" s="109"/>
      <c r="V21" s="109"/>
    </row>
  </sheetData>
  <mergeCells count="26">
    <mergeCell ref="A20:B20"/>
    <mergeCell ref="A21:H21"/>
    <mergeCell ref="P21:V21"/>
    <mergeCell ref="A3:A5"/>
    <mergeCell ref="B3:B5"/>
    <mergeCell ref="C3:C5"/>
    <mergeCell ref="D3:D5"/>
    <mergeCell ref="E4:E5"/>
    <mergeCell ref="J4:J5"/>
    <mergeCell ref="K4:K5"/>
    <mergeCell ref="L4:L5"/>
    <mergeCell ref="M4:M5"/>
    <mergeCell ref="N4:N5"/>
    <mergeCell ref="O4:O5"/>
    <mergeCell ref="P4:P5"/>
    <mergeCell ref="Q4:Q5"/>
    <mergeCell ref="A1:V1"/>
    <mergeCell ref="E3:M3"/>
    <mergeCell ref="N3:Q3"/>
    <mergeCell ref="R3:U3"/>
    <mergeCell ref="F4:G4"/>
    <mergeCell ref="H4:I4"/>
    <mergeCell ref="S4:T4"/>
    <mergeCell ref="R4:R5"/>
    <mergeCell ref="U4:U5"/>
    <mergeCell ref="V3:V5"/>
  </mergeCells>
  <phoneticPr fontId="99" type="noConversion"/>
  <pageMargins left="0.74803149606299202" right="0.74803149606299202" top="0.98425196850393704" bottom="0.98425196850393704" header="0.511811023622047" footer="0.511811023622047"/>
  <pageSetup paperSize="8" scale="7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Y31"/>
  <sheetViews>
    <sheetView showZeros="0" workbookViewId="0">
      <selection activeCell="C20" sqref="C20"/>
    </sheetView>
  </sheetViews>
  <sheetFormatPr defaultColWidth="9" defaultRowHeight="14.35"/>
  <cols>
    <col min="1" max="1" width="9.87890625" style="72" customWidth="1"/>
    <col min="2" max="2" width="23.3515625" style="72" customWidth="1"/>
    <col min="3" max="3" width="26" style="72" customWidth="1"/>
    <col min="4" max="4" width="24.46875" style="72" customWidth="1"/>
    <col min="5" max="5" width="9" style="72"/>
    <col min="6" max="6" width="10.46875" style="72" customWidth="1"/>
    <col min="7" max="16384" width="9" style="72"/>
  </cols>
  <sheetData>
    <row r="1" spans="1:233" ht="20.100000000000001" customHeight="1">
      <c r="A1" s="95" t="s">
        <v>0</v>
      </c>
      <c r="B1" s="95"/>
      <c r="C1" s="95"/>
      <c r="D1" s="95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3"/>
      <c r="GH1" s="73"/>
      <c r="GI1" s="73"/>
      <c r="GJ1" s="73"/>
      <c r="GK1" s="73"/>
      <c r="GL1" s="73"/>
      <c r="GM1" s="73"/>
      <c r="GN1" s="73"/>
      <c r="GO1" s="73"/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/>
      <c r="HQ1" s="73"/>
      <c r="HR1" s="73"/>
      <c r="HS1" s="73"/>
      <c r="HT1" s="73"/>
      <c r="HU1" s="73"/>
      <c r="HV1" s="73"/>
      <c r="HW1" s="73"/>
      <c r="HX1" s="73"/>
      <c r="HY1" s="73"/>
    </row>
    <row r="2" spans="1:233" ht="20.100000000000001" customHeight="1">
      <c r="A2" s="95"/>
      <c r="B2" s="95"/>
      <c r="C2" s="95"/>
      <c r="D2" s="95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</row>
    <row r="3" spans="1:233" ht="50.1" customHeight="1">
      <c r="A3" s="74" t="s">
        <v>1</v>
      </c>
      <c r="B3" s="75" t="s">
        <v>2</v>
      </c>
      <c r="C3" s="75" t="s">
        <v>3</v>
      </c>
      <c r="D3" s="76" t="s">
        <v>4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</row>
    <row r="4" spans="1:233" ht="28.5" customHeight="1">
      <c r="A4" s="94" t="str">
        <f>'15-5配电房'!B2</f>
        <v>15-5#</v>
      </c>
      <c r="B4" s="27" t="str">
        <f>[1]统9!F4</f>
        <v>住宅</v>
      </c>
      <c r="C4" s="77">
        <f>'15-5配电房'!G20</f>
        <v>0</v>
      </c>
      <c r="D4" s="31"/>
      <c r="E4" s="73"/>
      <c r="F4" s="78">
        <f>C25*0.03</f>
        <v>12.75</v>
      </c>
      <c r="G4" s="73">
        <v>507.16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</row>
    <row r="5" spans="1:233" ht="18" customHeight="1">
      <c r="A5" s="94"/>
      <c r="B5" s="27" t="s">
        <v>5</v>
      </c>
      <c r="C5" s="77">
        <f>'15-5配电房'!I20</f>
        <v>0</v>
      </c>
      <c r="D5" s="31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</row>
    <row r="6" spans="1:233" ht="18" customHeight="1">
      <c r="A6" s="94"/>
      <c r="B6" s="27" t="s">
        <v>6</v>
      </c>
      <c r="C6" s="77">
        <f>'15-5配电房'!J20</f>
        <v>0</v>
      </c>
      <c r="D6" s="31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</row>
    <row r="7" spans="1:233" ht="18" customHeight="1">
      <c r="A7" s="94"/>
      <c r="B7" s="27" t="s">
        <v>7</v>
      </c>
      <c r="C7" s="77">
        <f>'15-5配电房'!K20</f>
        <v>0</v>
      </c>
      <c r="D7" s="31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</row>
    <row r="8" spans="1:233" ht="18" customHeight="1">
      <c r="A8" s="94"/>
      <c r="B8" s="27" t="s">
        <v>8</v>
      </c>
      <c r="C8" s="77">
        <f>'15-5配电房'!L20</f>
        <v>0</v>
      </c>
      <c r="D8" s="31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</row>
    <row r="9" spans="1:233" ht="18" customHeight="1">
      <c r="A9" s="94"/>
      <c r="B9" s="27" t="s">
        <v>9</v>
      </c>
      <c r="C9" s="77">
        <f>'15-5配电房'!M20</f>
        <v>57.16</v>
      </c>
      <c r="D9" s="31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</row>
    <row r="10" spans="1:233" ht="18" customHeight="1">
      <c r="A10" s="94"/>
      <c r="B10" s="27" t="s">
        <v>10</v>
      </c>
      <c r="C10" s="77">
        <f>'15-5配电房'!O20</f>
        <v>0</v>
      </c>
      <c r="D10" s="31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</row>
    <row r="11" spans="1:233" ht="18" customHeight="1">
      <c r="A11" s="94"/>
      <c r="B11" s="27" t="s">
        <v>11</v>
      </c>
      <c r="C11" s="77">
        <f>'15-5配电房'!P20</f>
        <v>0</v>
      </c>
      <c r="D11" s="3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</row>
    <row r="12" spans="1:233" ht="18" customHeight="1">
      <c r="A12" s="94"/>
      <c r="B12" s="27" t="s">
        <v>12</v>
      </c>
      <c r="C12" s="77">
        <f>'15-5配电房'!Q20</f>
        <v>367.98</v>
      </c>
      <c r="D12" s="3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</row>
    <row r="13" spans="1:233" ht="18" customHeight="1">
      <c r="A13" s="94"/>
      <c r="B13" s="27" t="s">
        <v>13</v>
      </c>
      <c r="C13" s="77">
        <f>'15-5配电房'!T20</f>
        <v>0</v>
      </c>
      <c r="D13" s="3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</row>
    <row r="14" spans="1:233" ht="18" customHeight="1">
      <c r="A14" s="94"/>
      <c r="B14" s="27" t="s">
        <v>14</v>
      </c>
      <c r="C14" s="77">
        <f>'15-5配电房'!U20</f>
        <v>0</v>
      </c>
      <c r="D14" s="3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</row>
    <row r="15" spans="1:233" ht="18" customHeight="1">
      <c r="A15" s="94"/>
      <c r="B15" s="27"/>
      <c r="C15" s="77"/>
      <c r="D15" s="3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</row>
    <row r="16" spans="1:233" ht="18" customHeight="1">
      <c r="A16" s="94"/>
      <c r="B16" s="27"/>
      <c r="C16" s="77"/>
      <c r="D16" s="3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</row>
    <row r="17" spans="1:233" ht="18" customHeight="1">
      <c r="A17" s="94"/>
      <c r="B17" s="27"/>
      <c r="C17" s="77"/>
      <c r="D17" s="3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</row>
    <row r="18" spans="1:233" ht="18" customHeight="1">
      <c r="A18" s="94"/>
      <c r="B18" s="27"/>
      <c r="C18" s="79"/>
      <c r="D18" s="3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</row>
    <row r="19" spans="1:233" ht="18" customHeight="1">
      <c r="A19" s="94"/>
      <c r="B19" s="27"/>
      <c r="C19" s="77"/>
      <c r="D19" s="3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</row>
    <row r="20" spans="1:233" ht="18" customHeight="1">
      <c r="A20" s="94"/>
      <c r="B20" s="27"/>
      <c r="C20" s="77"/>
      <c r="D20" s="3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</row>
    <row r="21" spans="1:233" ht="18" customHeight="1">
      <c r="A21" s="94"/>
      <c r="B21" s="27"/>
      <c r="C21" s="77"/>
      <c r="D21" s="3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</row>
    <row r="22" spans="1:233" ht="18" customHeight="1">
      <c r="A22" s="94"/>
      <c r="B22" s="27"/>
      <c r="C22" s="77"/>
      <c r="D22" s="3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</row>
    <row r="23" spans="1:233" ht="18" customHeight="1">
      <c r="A23" s="94"/>
      <c r="B23" s="27"/>
      <c r="C23" s="77"/>
      <c r="D23" s="3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</row>
    <row r="24" spans="1:233" ht="18" customHeight="1">
      <c r="A24" s="94"/>
      <c r="B24" s="27"/>
      <c r="C24" s="77"/>
      <c r="D24" s="31"/>
      <c r="E24" s="73"/>
      <c r="F24" s="80">
        <f>SUM(C4:C9)</f>
        <v>57.16</v>
      </c>
      <c r="G24" s="73"/>
      <c r="H24" s="73">
        <f>F24-G24</f>
        <v>57.16</v>
      </c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</row>
    <row r="25" spans="1:233" ht="18" customHeight="1">
      <c r="A25" s="82" t="s">
        <v>15</v>
      </c>
      <c r="B25" s="83"/>
      <c r="C25" s="77">
        <f>SUM(C4:C24)</f>
        <v>425.14</v>
      </c>
      <c r="D25" s="3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</row>
    <row r="26" spans="1:233" ht="18" customHeight="1">
      <c r="A26" s="84" t="s">
        <v>16</v>
      </c>
      <c r="B26" s="85"/>
      <c r="C26" s="85"/>
      <c r="D26" s="86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</row>
    <row r="27" spans="1:233" ht="18" customHeight="1">
      <c r="A27" s="87" t="s">
        <v>51</v>
      </c>
      <c r="B27" s="88"/>
      <c r="C27" s="88"/>
      <c r="D27" s="89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</row>
    <row r="28" spans="1:233" ht="18" customHeight="1">
      <c r="A28" s="87" t="str">
        <f>"2、本栋总建筑面积："&amp;C25&amp;"平方米，计容建筑面积："&amp;H24&amp;"平方米，建筑基底面积：269.84平方米"</f>
        <v>2、本栋总建筑面积：425.14平方米，计容建筑面积：57.16平方米，建筑基底面积：269.84平方米</v>
      </c>
      <c r="B28" s="88"/>
      <c r="C28" s="88"/>
      <c r="D28" s="89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</row>
    <row r="29" spans="1:233" ht="18" customHeight="1">
      <c r="A29" s="87" t="s">
        <v>52</v>
      </c>
      <c r="B29" s="88"/>
      <c r="C29" s="88"/>
      <c r="D29" s="89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</row>
    <row r="30" spans="1:233" ht="24.95" customHeight="1">
      <c r="A30" s="90" t="s">
        <v>53</v>
      </c>
      <c r="B30" s="91"/>
      <c r="C30" s="91"/>
      <c r="D30" s="92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</row>
    <row r="31" spans="1:233" ht="23.25" customHeight="1">
      <c r="A31" s="93" t="s">
        <v>46</v>
      </c>
      <c r="B31" s="93"/>
      <c r="C31" s="93"/>
      <c r="D31" s="9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</row>
  </sheetData>
  <mergeCells count="9">
    <mergeCell ref="A30:D30"/>
    <mergeCell ref="A31:D31"/>
    <mergeCell ref="A4:A24"/>
    <mergeCell ref="A1:D2"/>
    <mergeCell ref="A25:B25"/>
    <mergeCell ref="A26:D26"/>
    <mergeCell ref="A27:D27"/>
    <mergeCell ref="A28:D28"/>
    <mergeCell ref="A29:D29"/>
  </mergeCells>
  <phoneticPr fontId="99" type="noConversion"/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J21"/>
  <sheetViews>
    <sheetView showZeros="0" view="pageBreakPreview" zoomScale="85" zoomScaleNormal="100" workbookViewId="0">
      <selection activeCell="G18" sqref="G18"/>
    </sheetView>
  </sheetViews>
  <sheetFormatPr defaultColWidth="7.87890625" defaultRowHeight="15.35"/>
  <cols>
    <col min="1" max="1" width="12.1171875" style="34" customWidth="1"/>
    <col min="2" max="2" width="5.46875" style="34" customWidth="1"/>
    <col min="3" max="3" width="10" style="34" customWidth="1"/>
    <col min="4" max="5" width="13.234375" style="34" customWidth="1"/>
    <col min="6" max="6" width="15.1171875" style="35" customWidth="1"/>
    <col min="7" max="7" width="14.234375" style="35" customWidth="1"/>
    <col min="8" max="18" width="11.64453125" style="35" customWidth="1"/>
    <col min="19" max="19" width="11.64453125" style="34" customWidth="1"/>
    <col min="20" max="239" width="7.87890625" style="34"/>
  </cols>
  <sheetData>
    <row r="1" spans="1:244" ht="23">
      <c r="A1" s="96" t="s">
        <v>21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</row>
    <row r="2" spans="1:244" ht="12.75" customHeight="1">
      <c r="A2" s="53" t="s">
        <v>22</v>
      </c>
      <c r="B2" s="54" t="s">
        <v>54</v>
      </c>
      <c r="C2" s="55"/>
      <c r="D2" s="55"/>
      <c r="E2" s="56"/>
      <c r="F2" s="57"/>
      <c r="G2" s="57"/>
      <c r="H2" s="5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68"/>
      <c r="IF2" s="34"/>
      <c r="IG2" s="34"/>
      <c r="IH2" s="34"/>
      <c r="II2" s="34"/>
      <c r="IJ2" s="34"/>
    </row>
    <row r="3" spans="1:244" s="50" customFormat="1" ht="18" customHeight="1">
      <c r="A3" s="110" t="s">
        <v>24</v>
      </c>
      <c r="B3" s="113" t="s">
        <v>25</v>
      </c>
      <c r="C3" s="113" t="s">
        <v>26</v>
      </c>
      <c r="D3" s="113" t="s">
        <v>27</v>
      </c>
      <c r="E3" s="97" t="s">
        <v>28</v>
      </c>
      <c r="F3" s="98"/>
      <c r="G3" s="98"/>
      <c r="H3" s="98"/>
      <c r="I3" s="98"/>
      <c r="J3" s="98"/>
      <c r="K3" s="98"/>
      <c r="L3" s="98"/>
      <c r="M3" s="98"/>
      <c r="N3" s="97" t="s">
        <v>29</v>
      </c>
      <c r="O3" s="98"/>
      <c r="P3" s="98"/>
      <c r="Q3" s="99"/>
      <c r="R3" s="97" t="s">
        <v>30</v>
      </c>
      <c r="S3" s="98"/>
      <c r="T3" s="98"/>
      <c r="U3" s="99"/>
      <c r="V3" s="120" t="s">
        <v>4</v>
      </c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</row>
    <row r="4" spans="1:244" s="50" customFormat="1" ht="21.75" customHeight="1">
      <c r="A4" s="111"/>
      <c r="B4" s="114"/>
      <c r="C4" s="114"/>
      <c r="D4" s="114"/>
      <c r="E4" s="116" t="s">
        <v>31</v>
      </c>
      <c r="F4" s="100" t="s">
        <v>32</v>
      </c>
      <c r="G4" s="101"/>
      <c r="H4" s="100" t="s">
        <v>5</v>
      </c>
      <c r="I4" s="101"/>
      <c r="J4" s="118" t="s">
        <v>6</v>
      </c>
      <c r="K4" s="118" t="s">
        <v>7</v>
      </c>
      <c r="L4" s="118" t="s">
        <v>8</v>
      </c>
      <c r="M4" s="118" t="s">
        <v>9</v>
      </c>
      <c r="N4" s="116" t="s">
        <v>31</v>
      </c>
      <c r="O4" s="118" t="s">
        <v>10</v>
      </c>
      <c r="P4" s="118" t="s">
        <v>11</v>
      </c>
      <c r="Q4" s="116" t="s">
        <v>12</v>
      </c>
      <c r="R4" s="116" t="s">
        <v>31</v>
      </c>
      <c r="S4" s="102" t="s">
        <v>13</v>
      </c>
      <c r="T4" s="103"/>
      <c r="U4" s="118" t="s">
        <v>14</v>
      </c>
      <c r="V4" s="121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</row>
    <row r="5" spans="1:244" s="50" customFormat="1" ht="24.95" customHeight="1">
      <c r="A5" s="112"/>
      <c r="B5" s="115"/>
      <c r="C5" s="115"/>
      <c r="D5" s="115"/>
      <c r="E5" s="117"/>
      <c r="F5" s="58" t="s">
        <v>33</v>
      </c>
      <c r="G5" s="58" t="s">
        <v>34</v>
      </c>
      <c r="H5" s="58" t="s">
        <v>33</v>
      </c>
      <c r="I5" s="58" t="s">
        <v>34</v>
      </c>
      <c r="J5" s="119"/>
      <c r="K5" s="119"/>
      <c r="L5" s="119"/>
      <c r="M5" s="119"/>
      <c r="N5" s="117"/>
      <c r="O5" s="119"/>
      <c r="P5" s="119"/>
      <c r="Q5" s="117"/>
      <c r="R5" s="117"/>
      <c r="S5" s="58" t="s">
        <v>33</v>
      </c>
      <c r="T5" s="58" t="s">
        <v>34</v>
      </c>
      <c r="U5" s="119"/>
      <c r="V5" s="121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</row>
    <row r="6" spans="1:244" ht="25.5" customHeight="1">
      <c r="A6" s="59" t="s">
        <v>35</v>
      </c>
      <c r="B6" s="60">
        <v>1</v>
      </c>
      <c r="C6" s="61">
        <v>269.83999999999997</v>
      </c>
      <c r="D6" s="62">
        <f>E6+N6+R6</f>
        <v>269.83999999999997</v>
      </c>
      <c r="E6" s="62">
        <f>G6+I6+J6+K6+L6+M6</f>
        <v>57.16</v>
      </c>
      <c r="F6" s="62"/>
      <c r="G6" s="62">
        <f t="shared" ref="G6:G19" si="0">F6*B6</f>
        <v>0</v>
      </c>
      <c r="H6" s="62"/>
      <c r="I6" s="62">
        <f>H6*B6</f>
        <v>0</v>
      </c>
      <c r="J6" s="62"/>
      <c r="K6" s="62"/>
      <c r="L6" s="62"/>
      <c r="M6" s="62">
        <v>57.16</v>
      </c>
      <c r="N6" s="62">
        <f>O6+P6+Q6</f>
        <v>212.68</v>
      </c>
      <c r="O6" s="62"/>
      <c r="P6" s="62"/>
      <c r="Q6" s="62">
        <v>212.68</v>
      </c>
      <c r="R6" s="69">
        <f>SUM(T6:U6)</f>
        <v>0</v>
      </c>
      <c r="S6" s="69"/>
      <c r="T6" s="69">
        <f>S6*B6</f>
        <v>0</v>
      </c>
      <c r="U6" s="69"/>
      <c r="V6" s="44"/>
    </row>
    <row r="7" spans="1:244" s="51" customFormat="1" ht="25.5" customHeight="1">
      <c r="A7" s="59" t="s">
        <v>36</v>
      </c>
      <c r="B7" s="60">
        <v>1</v>
      </c>
      <c r="C7" s="61"/>
      <c r="D7" s="62">
        <f t="shared" ref="D7:D19" si="1">E7+N7+R7</f>
        <v>155.30000000000001</v>
      </c>
      <c r="E7" s="62">
        <f t="shared" ref="E7:E19" si="2">G7+I7+J7+K7+L7+M7</f>
        <v>0</v>
      </c>
      <c r="F7" s="62"/>
      <c r="G7" s="62">
        <f t="shared" si="0"/>
        <v>0</v>
      </c>
      <c r="H7" s="62"/>
      <c r="I7" s="62">
        <f t="shared" ref="I7:I19" si="3">H7*B7</f>
        <v>0</v>
      </c>
      <c r="J7" s="62"/>
      <c r="K7" s="62"/>
      <c r="L7" s="62"/>
      <c r="M7" s="62"/>
      <c r="N7" s="62">
        <f t="shared" ref="N7:N12" si="4">O7+P7+Q7</f>
        <v>155.30000000000001</v>
      </c>
      <c r="O7" s="62"/>
      <c r="P7" s="62"/>
      <c r="Q7" s="62">
        <v>155.30000000000001</v>
      </c>
      <c r="R7" s="69">
        <f t="shared" ref="R7" si="5">SUM(T7:U7)</f>
        <v>0</v>
      </c>
      <c r="S7" s="69"/>
      <c r="T7" s="69">
        <f t="shared" ref="T7:T19" si="6">S7*B7</f>
        <v>0</v>
      </c>
      <c r="U7" s="69"/>
      <c r="V7" s="4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</row>
    <row r="8" spans="1:244" ht="25.5" customHeight="1">
      <c r="A8" s="59"/>
      <c r="B8" s="60"/>
      <c r="C8" s="61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9"/>
      <c r="S8" s="69"/>
      <c r="T8" s="69"/>
      <c r="U8" s="69"/>
      <c r="V8" s="44"/>
    </row>
    <row r="9" spans="1:244" ht="25.5" customHeight="1">
      <c r="A9" s="59"/>
      <c r="B9" s="60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9"/>
      <c r="S9" s="69"/>
      <c r="T9" s="69"/>
      <c r="U9" s="62"/>
      <c r="V9" s="70"/>
    </row>
    <row r="10" spans="1:244" ht="25.5" customHeight="1">
      <c r="A10" s="59"/>
      <c r="B10" s="60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9"/>
      <c r="S10" s="69"/>
      <c r="T10" s="69"/>
      <c r="U10" s="62"/>
      <c r="V10" s="70"/>
    </row>
    <row r="11" spans="1:244" ht="25.5" customHeight="1">
      <c r="A11" s="59"/>
      <c r="B11" s="60"/>
      <c r="C11" s="62"/>
      <c r="D11" s="62">
        <f t="shared" si="1"/>
        <v>0</v>
      </c>
      <c r="E11" s="62">
        <f t="shared" si="2"/>
        <v>0</v>
      </c>
      <c r="F11" s="62"/>
      <c r="G11" s="62">
        <f t="shared" si="0"/>
        <v>0</v>
      </c>
      <c r="H11" s="62"/>
      <c r="I11" s="62">
        <f t="shared" si="3"/>
        <v>0</v>
      </c>
      <c r="J11" s="62"/>
      <c r="K11" s="62"/>
      <c r="L11" s="62"/>
      <c r="M11" s="62"/>
      <c r="N11" s="62">
        <f t="shared" si="4"/>
        <v>0</v>
      </c>
      <c r="O11" s="62"/>
      <c r="P11" s="62"/>
      <c r="Q11" s="62"/>
      <c r="R11" s="69">
        <f t="shared" ref="R11:R19" si="7">SUM(T11:U11)</f>
        <v>0</v>
      </c>
      <c r="S11" s="69"/>
      <c r="T11" s="69">
        <f t="shared" si="6"/>
        <v>0</v>
      </c>
      <c r="U11" s="62"/>
      <c r="V11" s="70"/>
    </row>
    <row r="12" spans="1:244" ht="25.5" customHeight="1">
      <c r="A12" s="59"/>
      <c r="B12" s="60"/>
      <c r="C12" s="62"/>
      <c r="D12" s="62">
        <f t="shared" si="1"/>
        <v>0</v>
      </c>
      <c r="E12" s="62">
        <f t="shared" si="2"/>
        <v>0</v>
      </c>
      <c r="F12" s="62"/>
      <c r="G12" s="62">
        <f t="shared" si="0"/>
        <v>0</v>
      </c>
      <c r="H12" s="62"/>
      <c r="I12" s="62">
        <f t="shared" si="3"/>
        <v>0</v>
      </c>
      <c r="J12" s="62"/>
      <c r="K12" s="62"/>
      <c r="L12" s="62"/>
      <c r="M12" s="62"/>
      <c r="N12" s="62">
        <f t="shared" si="4"/>
        <v>0</v>
      </c>
      <c r="O12" s="62"/>
      <c r="P12" s="62"/>
      <c r="Q12" s="62"/>
      <c r="R12" s="69">
        <f t="shared" si="7"/>
        <v>0</v>
      </c>
      <c r="S12" s="69"/>
      <c r="T12" s="69">
        <f t="shared" si="6"/>
        <v>0</v>
      </c>
      <c r="U12" s="62"/>
      <c r="V12" s="70"/>
    </row>
    <row r="13" spans="1:244" ht="25.5" customHeight="1">
      <c r="A13" s="59"/>
      <c r="B13" s="63"/>
      <c r="C13" s="62"/>
      <c r="D13" s="62">
        <f t="shared" si="1"/>
        <v>0</v>
      </c>
      <c r="E13" s="62">
        <f t="shared" si="2"/>
        <v>0</v>
      </c>
      <c r="F13" s="62"/>
      <c r="G13" s="62">
        <f t="shared" si="0"/>
        <v>0</v>
      </c>
      <c r="H13" s="62"/>
      <c r="I13" s="62">
        <f t="shared" si="3"/>
        <v>0</v>
      </c>
      <c r="J13" s="62"/>
      <c r="K13" s="62"/>
      <c r="L13" s="62"/>
      <c r="M13" s="62"/>
      <c r="N13" s="62"/>
      <c r="O13" s="62"/>
      <c r="P13" s="62"/>
      <c r="Q13" s="62"/>
      <c r="R13" s="69">
        <f t="shared" si="7"/>
        <v>0</v>
      </c>
      <c r="S13" s="69"/>
      <c r="T13" s="69">
        <f t="shared" si="6"/>
        <v>0</v>
      </c>
      <c r="U13" s="62"/>
      <c r="V13" s="70"/>
    </row>
    <row r="14" spans="1:244" ht="25.5" customHeight="1">
      <c r="A14" s="59"/>
      <c r="B14" s="63"/>
      <c r="C14" s="62"/>
      <c r="D14" s="62">
        <f t="shared" si="1"/>
        <v>0</v>
      </c>
      <c r="E14" s="62">
        <f t="shared" si="2"/>
        <v>0</v>
      </c>
      <c r="F14" s="62"/>
      <c r="G14" s="62">
        <f t="shared" si="0"/>
        <v>0</v>
      </c>
      <c r="H14" s="62"/>
      <c r="I14" s="62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9">
        <f t="shared" si="7"/>
        <v>0</v>
      </c>
      <c r="S14" s="69"/>
      <c r="T14" s="69">
        <f t="shared" si="6"/>
        <v>0</v>
      </c>
      <c r="U14" s="62"/>
      <c r="V14" s="70"/>
    </row>
    <row r="15" spans="1:244" ht="25.5" customHeight="1">
      <c r="A15" s="59"/>
      <c r="B15" s="63"/>
      <c r="C15" s="62"/>
      <c r="D15" s="62">
        <f t="shared" si="1"/>
        <v>0</v>
      </c>
      <c r="E15" s="62">
        <f t="shared" si="2"/>
        <v>0</v>
      </c>
      <c r="F15" s="62"/>
      <c r="G15" s="62">
        <f t="shared" si="0"/>
        <v>0</v>
      </c>
      <c r="H15" s="62"/>
      <c r="I15" s="62">
        <f t="shared" si="3"/>
        <v>0</v>
      </c>
      <c r="J15" s="62"/>
      <c r="K15" s="62"/>
      <c r="L15" s="62"/>
      <c r="M15" s="62"/>
      <c r="N15" s="62"/>
      <c r="O15" s="62"/>
      <c r="P15" s="62"/>
      <c r="Q15" s="62"/>
      <c r="R15" s="69">
        <f t="shared" si="7"/>
        <v>0</v>
      </c>
      <c r="S15" s="69"/>
      <c r="T15" s="69">
        <f t="shared" si="6"/>
        <v>0</v>
      </c>
      <c r="U15" s="62"/>
      <c r="V15" s="70"/>
    </row>
    <row r="16" spans="1:244" ht="25.5" customHeight="1">
      <c r="A16" s="59"/>
      <c r="B16" s="64"/>
      <c r="C16" s="62"/>
      <c r="D16" s="62">
        <f t="shared" si="1"/>
        <v>0</v>
      </c>
      <c r="E16" s="62">
        <f t="shared" si="2"/>
        <v>0</v>
      </c>
      <c r="F16" s="62"/>
      <c r="G16" s="62">
        <f t="shared" si="0"/>
        <v>0</v>
      </c>
      <c r="H16" s="62"/>
      <c r="I16" s="62">
        <f t="shared" si="3"/>
        <v>0</v>
      </c>
      <c r="J16" s="62"/>
      <c r="K16" s="62"/>
      <c r="L16" s="62"/>
      <c r="M16" s="62"/>
      <c r="N16" s="62"/>
      <c r="O16" s="62"/>
      <c r="P16" s="62"/>
      <c r="Q16" s="62"/>
      <c r="R16" s="69">
        <f t="shared" si="7"/>
        <v>0</v>
      </c>
      <c r="S16" s="69"/>
      <c r="T16" s="69">
        <f t="shared" si="6"/>
        <v>0</v>
      </c>
      <c r="U16" s="62"/>
      <c r="V16" s="70"/>
    </row>
    <row r="17" spans="1:22" ht="25.5" customHeight="1">
      <c r="A17" s="59"/>
      <c r="B17" s="64"/>
      <c r="C17" s="62"/>
      <c r="D17" s="62">
        <f t="shared" si="1"/>
        <v>0</v>
      </c>
      <c r="E17" s="62">
        <f t="shared" si="2"/>
        <v>0</v>
      </c>
      <c r="F17" s="62"/>
      <c r="G17" s="62">
        <f t="shared" si="0"/>
        <v>0</v>
      </c>
      <c r="H17" s="62"/>
      <c r="I17" s="62">
        <f t="shared" si="3"/>
        <v>0</v>
      </c>
      <c r="J17" s="62"/>
      <c r="K17" s="62"/>
      <c r="L17" s="62"/>
      <c r="M17" s="62"/>
      <c r="N17" s="62"/>
      <c r="O17" s="62"/>
      <c r="P17" s="62"/>
      <c r="Q17" s="62"/>
      <c r="R17" s="69">
        <f t="shared" si="7"/>
        <v>0</v>
      </c>
      <c r="S17" s="69"/>
      <c r="T17" s="69">
        <f t="shared" si="6"/>
        <v>0</v>
      </c>
      <c r="U17" s="62"/>
      <c r="V17" s="70"/>
    </row>
    <row r="18" spans="1:22" ht="25.5" customHeight="1">
      <c r="A18" s="59"/>
      <c r="B18" s="64"/>
      <c r="C18" s="62"/>
      <c r="D18" s="62">
        <f t="shared" si="1"/>
        <v>0</v>
      </c>
      <c r="E18" s="62">
        <f t="shared" si="2"/>
        <v>0</v>
      </c>
      <c r="F18" s="62"/>
      <c r="G18" s="62">
        <f t="shared" si="0"/>
        <v>0</v>
      </c>
      <c r="H18" s="62"/>
      <c r="I18" s="62">
        <f t="shared" si="3"/>
        <v>0</v>
      </c>
      <c r="J18" s="62"/>
      <c r="K18" s="62"/>
      <c r="L18" s="62"/>
      <c r="M18" s="62"/>
      <c r="N18" s="62"/>
      <c r="O18" s="62"/>
      <c r="P18" s="62"/>
      <c r="Q18" s="62"/>
      <c r="R18" s="69">
        <f t="shared" si="7"/>
        <v>0</v>
      </c>
      <c r="S18" s="69"/>
      <c r="T18" s="69">
        <f t="shared" si="6"/>
        <v>0</v>
      </c>
      <c r="U18" s="62"/>
      <c r="V18" s="70"/>
    </row>
    <row r="19" spans="1:22" ht="25.5" customHeight="1">
      <c r="A19" s="59"/>
      <c r="B19" s="64"/>
      <c r="C19" s="62"/>
      <c r="D19" s="62">
        <f t="shared" si="1"/>
        <v>0</v>
      </c>
      <c r="E19" s="62">
        <f t="shared" si="2"/>
        <v>0</v>
      </c>
      <c r="F19" s="62"/>
      <c r="G19" s="62">
        <f t="shared" si="0"/>
        <v>0</v>
      </c>
      <c r="H19" s="62"/>
      <c r="I19" s="62">
        <f t="shared" si="3"/>
        <v>0</v>
      </c>
      <c r="J19" s="62"/>
      <c r="K19" s="62"/>
      <c r="L19" s="62"/>
      <c r="M19" s="62"/>
      <c r="N19" s="62"/>
      <c r="O19" s="62"/>
      <c r="P19" s="62"/>
      <c r="Q19" s="62"/>
      <c r="R19" s="69">
        <f t="shared" si="7"/>
        <v>0</v>
      </c>
      <c r="S19" s="69"/>
      <c r="T19" s="69">
        <f t="shared" si="6"/>
        <v>0</v>
      </c>
      <c r="U19" s="62"/>
      <c r="V19" s="70"/>
    </row>
    <row r="20" spans="1:22" ht="25.5" customHeight="1">
      <c r="A20" s="104" t="s">
        <v>42</v>
      </c>
      <c r="B20" s="105"/>
      <c r="C20" s="65">
        <f>SUM(C6:C19)</f>
        <v>269.83999999999997</v>
      </c>
      <c r="D20" s="65">
        <f t="shared" ref="D20:U20" si="8">SUM(D6:D19)</f>
        <v>425.14</v>
      </c>
      <c r="E20" s="65">
        <f t="shared" si="8"/>
        <v>57.16</v>
      </c>
      <c r="F20" s="65"/>
      <c r="G20" s="65">
        <f t="shared" si="8"/>
        <v>0</v>
      </c>
      <c r="H20" s="65"/>
      <c r="I20" s="65">
        <f t="shared" si="8"/>
        <v>0</v>
      </c>
      <c r="J20" s="65">
        <f t="shared" si="8"/>
        <v>0</v>
      </c>
      <c r="K20" s="65">
        <f t="shared" si="8"/>
        <v>0</v>
      </c>
      <c r="L20" s="65">
        <f t="shared" si="8"/>
        <v>0</v>
      </c>
      <c r="M20" s="65">
        <f t="shared" si="8"/>
        <v>57.16</v>
      </c>
      <c r="N20" s="65">
        <f t="shared" si="8"/>
        <v>367.98</v>
      </c>
      <c r="O20" s="65">
        <f t="shared" si="8"/>
        <v>0</v>
      </c>
      <c r="P20" s="65">
        <f t="shared" si="8"/>
        <v>0</v>
      </c>
      <c r="Q20" s="65">
        <f t="shared" si="8"/>
        <v>367.98</v>
      </c>
      <c r="R20" s="65">
        <f t="shared" si="8"/>
        <v>0</v>
      </c>
      <c r="S20" s="65"/>
      <c r="T20" s="65">
        <f t="shared" si="8"/>
        <v>0</v>
      </c>
      <c r="U20" s="65">
        <f t="shared" si="8"/>
        <v>0</v>
      </c>
      <c r="V20" s="71"/>
    </row>
    <row r="21" spans="1:22" ht="25.5" customHeight="1">
      <c r="A21" s="106" t="s">
        <v>43</v>
      </c>
      <c r="B21" s="107"/>
      <c r="C21" s="107"/>
      <c r="D21" s="107"/>
      <c r="E21" s="107"/>
      <c r="F21" s="107"/>
      <c r="G21" s="107"/>
      <c r="H21" s="107"/>
      <c r="I21" s="67"/>
      <c r="J21" s="67"/>
      <c r="K21" s="67"/>
      <c r="L21" s="67"/>
      <c r="M21" s="67"/>
      <c r="N21" s="67"/>
      <c r="O21" s="67"/>
      <c r="P21" s="108" t="s">
        <v>50</v>
      </c>
      <c r="Q21" s="109"/>
      <c r="R21" s="109"/>
      <c r="S21" s="109"/>
      <c r="T21" s="109"/>
      <c r="U21" s="109"/>
      <c r="V21" s="109"/>
    </row>
  </sheetData>
  <mergeCells count="26">
    <mergeCell ref="A20:B20"/>
    <mergeCell ref="A21:H21"/>
    <mergeCell ref="P21:V21"/>
    <mergeCell ref="A3:A5"/>
    <mergeCell ref="B3:B5"/>
    <mergeCell ref="C3:C5"/>
    <mergeCell ref="D3:D5"/>
    <mergeCell ref="E4:E5"/>
    <mergeCell ref="J4:J5"/>
    <mergeCell ref="K4:K5"/>
    <mergeCell ref="L4:L5"/>
    <mergeCell ref="M4:M5"/>
    <mergeCell ref="N4:N5"/>
    <mergeCell ref="O4:O5"/>
    <mergeCell ref="P4:P5"/>
    <mergeCell ref="Q4:Q5"/>
    <mergeCell ref="A1:V1"/>
    <mergeCell ref="E3:M3"/>
    <mergeCell ref="N3:Q3"/>
    <mergeCell ref="R3:U3"/>
    <mergeCell ref="F4:G4"/>
    <mergeCell ref="H4:I4"/>
    <mergeCell ref="S4:T4"/>
    <mergeCell ref="R4:R5"/>
    <mergeCell ref="U4:U5"/>
    <mergeCell ref="V3:V5"/>
  </mergeCells>
  <phoneticPr fontId="99" type="noConversion"/>
  <pageMargins left="0.74803149606299202" right="0.74803149606299202" top="0.98425196850393704" bottom="0.98425196850393704" header="0.511811023622047" footer="0.511811023622047"/>
  <pageSetup paperSize="8" scale="7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view="pageBreakPreview" zoomScaleNormal="150" workbookViewId="0">
      <selection activeCell="H3" sqref="H3:H9"/>
    </sheetView>
  </sheetViews>
  <sheetFormatPr defaultColWidth="9" defaultRowHeight="14.35"/>
  <cols>
    <col min="1" max="1" width="5.64453125" style="1" customWidth="1"/>
    <col min="2" max="2" width="9.76171875" style="1" customWidth="1"/>
    <col min="3" max="3" width="7.76171875" style="1" customWidth="1"/>
    <col min="4" max="4" width="17" style="1" customWidth="1"/>
    <col min="5" max="5" width="12.87890625" style="1" customWidth="1"/>
    <col min="6" max="6" width="5.1171875" style="1" customWidth="1"/>
    <col min="7" max="7" width="9.3515625" style="1" customWidth="1"/>
    <col min="8" max="8" width="11.46875" style="1" customWidth="1"/>
    <col min="9" max="9" width="8" style="1" customWidth="1"/>
    <col min="10" max="16384" width="9" style="1"/>
  </cols>
  <sheetData>
    <row r="1" spans="1:9" ht="28.5" customHeight="1">
      <c r="A1" s="95" t="s">
        <v>55</v>
      </c>
      <c r="B1" s="95"/>
      <c r="C1" s="95"/>
      <c r="D1" s="95"/>
      <c r="E1" s="95"/>
      <c r="F1" s="95"/>
      <c r="G1" s="95"/>
      <c r="H1" s="95"/>
      <c r="I1" s="95"/>
    </row>
    <row r="2" spans="1:9" ht="39.950000000000003" customHeight="1">
      <c r="A2" s="46" t="s">
        <v>56</v>
      </c>
      <c r="B2" s="47" t="s">
        <v>57</v>
      </c>
      <c r="C2" s="47" t="s">
        <v>58</v>
      </c>
      <c r="D2" s="48" t="s">
        <v>59</v>
      </c>
      <c r="E2" s="47" t="s">
        <v>60</v>
      </c>
      <c r="F2" s="47" t="s">
        <v>61</v>
      </c>
      <c r="G2" s="47" t="s">
        <v>62</v>
      </c>
      <c r="H2" s="47" t="s">
        <v>63</v>
      </c>
      <c r="I2" s="49" t="s">
        <v>4</v>
      </c>
    </row>
    <row r="3" spans="1:9" ht="27" customHeight="1">
      <c r="A3" s="94" t="s">
        <v>64</v>
      </c>
      <c r="B3" s="125">
        <f>统地!C6</f>
        <v>6391.63</v>
      </c>
      <c r="C3" s="126">
        <v>3.75</v>
      </c>
      <c r="D3" s="27" t="str">
        <f>[1]统地!I4</f>
        <v>小型车位</v>
      </c>
      <c r="E3" s="27">
        <f>统地!I6</f>
        <v>69</v>
      </c>
      <c r="F3" s="27">
        <v>1</v>
      </c>
      <c r="G3" s="27">
        <f t="shared" ref="G3:G12" si="0">E3*F3</f>
        <v>69</v>
      </c>
      <c r="H3" s="83">
        <v>146</v>
      </c>
      <c r="I3" s="31"/>
    </row>
    <row r="4" spans="1:9" ht="27" customHeight="1">
      <c r="A4" s="94"/>
      <c r="B4" s="125"/>
      <c r="C4" s="126"/>
      <c r="D4" s="27" t="str">
        <f>[1]统地!K4</f>
        <v>小型充电桩车位</v>
      </c>
      <c r="E4" s="27">
        <v>69</v>
      </c>
      <c r="F4" s="27">
        <v>1</v>
      </c>
      <c r="G4" s="27">
        <f t="shared" si="0"/>
        <v>69</v>
      </c>
      <c r="H4" s="83"/>
      <c r="I4" s="31"/>
    </row>
    <row r="5" spans="1:9" ht="27" customHeight="1">
      <c r="A5" s="94"/>
      <c r="B5" s="125"/>
      <c r="C5" s="126"/>
      <c r="D5" s="27" t="s">
        <v>65</v>
      </c>
      <c r="E5" s="27">
        <f>统地!K6</f>
        <v>1</v>
      </c>
      <c r="F5" s="27">
        <v>1</v>
      </c>
      <c r="G5" s="27">
        <f t="shared" si="0"/>
        <v>1</v>
      </c>
      <c r="H5" s="83"/>
      <c r="I5" s="31"/>
    </row>
    <row r="6" spans="1:9" ht="27" customHeight="1">
      <c r="A6" s="94"/>
      <c r="B6" s="125"/>
      <c r="C6" s="126"/>
      <c r="D6" s="27" t="s">
        <v>66</v>
      </c>
      <c r="E6" s="27">
        <v>1</v>
      </c>
      <c r="F6" s="27">
        <v>1</v>
      </c>
      <c r="G6" s="27">
        <f t="shared" si="0"/>
        <v>1</v>
      </c>
      <c r="H6" s="83"/>
      <c r="I6" s="31"/>
    </row>
    <row r="7" spans="1:9" ht="27" customHeight="1">
      <c r="A7" s="94"/>
      <c r="B7" s="125"/>
      <c r="C7" s="126"/>
      <c r="D7" s="27" t="s">
        <v>67</v>
      </c>
      <c r="E7" s="27"/>
      <c r="F7" s="27">
        <v>1</v>
      </c>
      <c r="G7" s="27"/>
      <c r="H7" s="83"/>
      <c r="I7" s="31"/>
    </row>
    <row r="8" spans="1:9" ht="27" customHeight="1">
      <c r="A8" s="94"/>
      <c r="B8" s="125"/>
      <c r="C8" s="126"/>
      <c r="D8" s="27" t="s">
        <v>68</v>
      </c>
      <c r="E8" s="27">
        <v>5</v>
      </c>
      <c r="F8" s="27">
        <v>0.7</v>
      </c>
      <c r="G8" s="27">
        <v>3</v>
      </c>
      <c r="H8" s="83"/>
      <c r="I8" s="31"/>
    </row>
    <row r="9" spans="1:9" ht="27" customHeight="1">
      <c r="A9" s="94"/>
      <c r="B9" s="125"/>
      <c r="C9" s="126"/>
      <c r="D9" s="27" t="s">
        <v>69</v>
      </c>
      <c r="E9" s="27">
        <v>4</v>
      </c>
      <c r="F9" s="27">
        <v>0.7</v>
      </c>
      <c r="G9" s="27">
        <v>3</v>
      </c>
      <c r="H9" s="83"/>
      <c r="I9" s="31"/>
    </row>
    <row r="10" spans="1:9" ht="27" customHeight="1">
      <c r="A10" s="94" t="s">
        <v>70</v>
      </c>
      <c r="B10" s="83">
        <f>统地!C7</f>
        <v>6391.63</v>
      </c>
      <c r="C10" s="126">
        <v>3.75</v>
      </c>
      <c r="D10" s="27" t="str">
        <f>[1]统地!I4</f>
        <v>小型车位</v>
      </c>
      <c r="E10" s="27">
        <f>统地!I7</f>
        <v>140</v>
      </c>
      <c r="F10" s="27">
        <v>1</v>
      </c>
      <c r="G10" s="27">
        <f t="shared" si="0"/>
        <v>140</v>
      </c>
      <c r="H10" s="83">
        <v>149</v>
      </c>
      <c r="I10" s="31"/>
    </row>
    <row r="11" spans="1:9" ht="27" customHeight="1">
      <c r="A11" s="94"/>
      <c r="B11" s="83"/>
      <c r="C11" s="126"/>
      <c r="D11" s="27" t="str">
        <f>[1]统地!K4</f>
        <v>小型充电桩车位</v>
      </c>
      <c r="E11" s="27"/>
      <c r="F11" s="27">
        <v>1</v>
      </c>
      <c r="G11" s="27"/>
      <c r="H11" s="83"/>
      <c r="I11" s="31"/>
    </row>
    <row r="12" spans="1:9" ht="27" customHeight="1">
      <c r="A12" s="94"/>
      <c r="B12" s="83"/>
      <c r="C12" s="126"/>
      <c r="D12" s="27" t="s">
        <v>65</v>
      </c>
      <c r="E12" s="27">
        <v>1</v>
      </c>
      <c r="F12" s="27">
        <v>1</v>
      </c>
      <c r="G12" s="27">
        <f t="shared" si="0"/>
        <v>1</v>
      </c>
      <c r="H12" s="83"/>
      <c r="I12" s="31"/>
    </row>
    <row r="13" spans="1:9" ht="27" customHeight="1">
      <c r="A13" s="94"/>
      <c r="B13" s="83"/>
      <c r="C13" s="126"/>
      <c r="D13" s="27" t="s">
        <v>66</v>
      </c>
      <c r="E13" s="27"/>
      <c r="F13" s="27">
        <v>1</v>
      </c>
      <c r="G13" s="27"/>
      <c r="H13" s="83"/>
      <c r="I13" s="31"/>
    </row>
    <row r="14" spans="1:9" ht="27" customHeight="1">
      <c r="A14" s="94"/>
      <c r="B14" s="83"/>
      <c r="C14" s="126"/>
      <c r="D14" s="27" t="s">
        <v>67</v>
      </c>
      <c r="E14" s="27"/>
      <c r="F14" s="27">
        <v>1</v>
      </c>
      <c r="G14" s="27"/>
      <c r="H14" s="83"/>
      <c r="I14" s="31"/>
    </row>
    <row r="15" spans="1:9" ht="27" customHeight="1">
      <c r="A15" s="94"/>
      <c r="B15" s="83"/>
      <c r="C15" s="126"/>
      <c r="D15" s="27" t="s">
        <v>68</v>
      </c>
      <c r="E15" s="27">
        <v>11</v>
      </c>
      <c r="F15" s="27">
        <v>0.7</v>
      </c>
      <c r="G15" s="27">
        <v>8</v>
      </c>
      <c r="H15" s="83"/>
      <c r="I15" s="31"/>
    </row>
    <row r="16" spans="1:9" ht="27" customHeight="1">
      <c r="A16" s="94"/>
      <c r="B16" s="83"/>
      <c r="C16" s="126"/>
      <c r="D16" s="27" t="s">
        <v>69</v>
      </c>
      <c r="E16" s="27"/>
      <c r="F16" s="27">
        <v>0.7</v>
      </c>
      <c r="G16" s="27"/>
      <c r="H16" s="83"/>
      <c r="I16" s="31"/>
    </row>
    <row r="17" spans="1:9" ht="37.5" customHeight="1">
      <c r="A17" s="25" t="s">
        <v>71</v>
      </c>
      <c r="B17" s="26">
        <f>B10+B3</f>
        <v>12783.26</v>
      </c>
      <c r="C17" s="27"/>
      <c r="D17" s="27"/>
      <c r="E17" s="27"/>
      <c r="F17" s="27"/>
      <c r="G17" s="27"/>
      <c r="H17" s="27">
        <f>H10+H3</f>
        <v>295</v>
      </c>
      <c r="I17" s="31"/>
    </row>
    <row r="18" spans="1:9" ht="22.5" customHeight="1">
      <c r="A18" s="122" t="s">
        <v>72</v>
      </c>
      <c r="B18" s="123"/>
      <c r="C18" s="123"/>
      <c r="D18" s="123"/>
      <c r="E18" s="123"/>
      <c r="F18" s="123"/>
      <c r="G18" s="123"/>
      <c r="H18" s="123"/>
      <c r="I18" s="124"/>
    </row>
    <row r="19" spans="1:9" ht="22.5" customHeight="1">
      <c r="A19" s="122" t="s">
        <v>73</v>
      </c>
      <c r="B19" s="123"/>
      <c r="C19" s="123"/>
      <c r="D19" s="123"/>
      <c r="E19" s="123"/>
      <c r="F19" s="123"/>
      <c r="G19" s="123"/>
      <c r="H19" s="123"/>
      <c r="I19" s="124"/>
    </row>
    <row r="20" spans="1:9" ht="22.5" customHeight="1">
      <c r="A20" s="122" t="s">
        <v>74</v>
      </c>
      <c r="B20" s="123"/>
      <c r="C20" s="123"/>
      <c r="D20" s="123"/>
      <c r="E20" s="123"/>
      <c r="F20" s="123"/>
      <c r="G20" s="123"/>
      <c r="H20" s="123"/>
      <c r="I20" s="124"/>
    </row>
    <row r="21" spans="1:9" ht="22.5" customHeight="1">
      <c r="A21" s="93" t="s">
        <v>75</v>
      </c>
      <c r="B21" s="93"/>
      <c r="C21" s="93"/>
      <c r="D21" s="93"/>
      <c r="E21" s="93"/>
      <c r="F21" s="93"/>
      <c r="G21" s="93"/>
      <c r="H21" s="93"/>
      <c r="I21" s="93"/>
    </row>
  </sheetData>
  <mergeCells count="13">
    <mergeCell ref="A1:I1"/>
    <mergeCell ref="A18:I18"/>
    <mergeCell ref="A19:I19"/>
    <mergeCell ref="A20:I20"/>
    <mergeCell ref="A21:I21"/>
    <mergeCell ref="A3:A9"/>
    <mergeCell ref="A10:A16"/>
    <mergeCell ref="B3:B9"/>
    <mergeCell ref="B10:B16"/>
    <mergeCell ref="C3:C9"/>
    <mergeCell ref="C10:C16"/>
    <mergeCell ref="H3:H9"/>
    <mergeCell ref="H10:H16"/>
  </mergeCells>
  <phoneticPr fontId="99" type="noConversion"/>
  <pageMargins left="0.75138888888888899" right="0.75138888888888899" top="1" bottom="1" header="0.51111111111111096" footer="0.51111111111111096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K23"/>
  <sheetViews>
    <sheetView workbookViewId="0">
      <selection activeCell="H10" sqref="H10"/>
    </sheetView>
  </sheetViews>
  <sheetFormatPr defaultColWidth="7.87890625" defaultRowHeight="15.35"/>
  <cols>
    <col min="1" max="1" width="9.87890625" style="34" customWidth="1"/>
    <col min="2" max="2" width="5.46875" style="34" customWidth="1"/>
    <col min="3" max="3" width="13.234375" style="34" customWidth="1"/>
    <col min="4" max="4" width="15.1171875" style="35" customWidth="1"/>
    <col min="5" max="5" width="14.234375" style="35" customWidth="1"/>
    <col min="6" max="13" width="11.64453125" style="35" customWidth="1"/>
    <col min="14" max="14" width="15.87890625" style="35" customWidth="1"/>
    <col min="15" max="15" width="16.1171875" style="35" customWidth="1"/>
    <col min="16" max="16" width="12.87890625" style="34" customWidth="1"/>
    <col min="17" max="239" width="7.87890625" style="34"/>
    <col min="240" max="16384" width="7.87890625" style="1"/>
  </cols>
  <sheetData>
    <row r="1" spans="1:244" ht="23">
      <c r="A1" s="127" t="s">
        <v>21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244" ht="12.75" customHeight="1">
      <c r="A2" s="128" t="s">
        <v>76</v>
      </c>
      <c r="B2" s="128"/>
      <c r="C2" s="128"/>
      <c r="D2" s="128"/>
      <c r="E2" s="128"/>
      <c r="F2" s="1"/>
      <c r="G2" s="1"/>
      <c r="H2" s="5"/>
      <c r="I2" s="5"/>
      <c r="J2" s="5"/>
      <c r="K2" s="5"/>
      <c r="L2" s="5"/>
      <c r="M2" s="5"/>
      <c r="N2" s="5"/>
      <c r="O2" s="5"/>
      <c r="P2" s="17" t="s">
        <v>77</v>
      </c>
      <c r="Q2" s="5"/>
      <c r="R2" s="5"/>
      <c r="S2" s="5"/>
      <c r="T2" s="5"/>
      <c r="U2" s="1"/>
      <c r="IF2" s="34"/>
      <c r="IG2" s="34"/>
      <c r="IH2" s="34"/>
      <c r="II2" s="34"/>
      <c r="IJ2" s="34"/>
    </row>
    <row r="3" spans="1:244" s="2" customFormat="1" ht="18" customHeight="1">
      <c r="A3" s="137" t="s">
        <v>24</v>
      </c>
      <c r="B3" s="140" t="s">
        <v>25</v>
      </c>
      <c r="C3" s="140" t="s">
        <v>78</v>
      </c>
      <c r="D3" s="129" t="s">
        <v>79</v>
      </c>
      <c r="E3" s="130"/>
      <c r="F3" s="130" t="s">
        <v>80</v>
      </c>
      <c r="G3" s="130"/>
      <c r="H3" s="140" t="s">
        <v>78</v>
      </c>
      <c r="I3" s="129" t="s">
        <v>81</v>
      </c>
      <c r="J3" s="130"/>
      <c r="K3" s="130"/>
      <c r="L3" s="130"/>
      <c r="M3" s="130"/>
      <c r="N3" s="130"/>
      <c r="O3" s="131"/>
      <c r="P3" s="153" t="s">
        <v>4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</row>
    <row r="4" spans="1:244" s="2" customFormat="1" ht="21.75" customHeight="1">
      <c r="A4" s="138"/>
      <c r="B4" s="141"/>
      <c r="C4" s="141"/>
      <c r="D4" s="143" t="s">
        <v>82</v>
      </c>
      <c r="E4" s="145" t="s">
        <v>83</v>
      </c>
      <c r="F4" s="141" t="s">
        <v>84</v>
      </c>
      <c r="G4" s="147" t="s">
        <v>85</v>
      </c>
      <c r="H4" s="141"/>
      <c r="I4" s="143" t="s">
        <v>86</v>
      </c>
      <c r="J4" s="149" t="s">
        <v>87</v>
      </c>
      <c r="K4" s="143" t="s">
        <v>65</v>
      </c>
      <c r="L4" s="149" t="s">
        <v>66</v>
      </c>
      <c r="M4" s="151" t="s">
        <v>67</v>
      </c>
      <c r="N4" s="151" t="s">
        <v>88</v>
      </c>
      <c r="O4" s="151" t="s">
        <v>89</v>
      </c>
      <c r="P4" s="154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</row>
    <row r="5" spans="1:244" s="2" customFormat="1" ht="24.95" customHeight="1">
      <c r="A5" s="139"/>
      <c r="B5" s="142"/>
      <c r="C5" s="142"/>
      <c r="D5" s="144"/>
      <c r="E5" s="146"/>
      <c r="F5" s="142"/>
      <c r="G5" s="148"/>
      <c r="H5" s="142"/>
      <c r="I5" s="144"/>
      <c r="J5" s="150"/>
      <c r="K5" s="144"/>
      <c r="L5" s="150"/>
      <c r="M5" s="152"/>
      <c r="N5" s="152"/>
      <c r="O5" s="152"/>
      <c r="P5" s="154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</row>
    <row r="6" spans="1:244" ht="25.5" customHeight="1">
      <c r="A6" s="36">
        <v>1</v>
      </c>
      <c r="B6" s="16">
        <v>1</v>
      </c>
      <c r="C6" s="12">
        <v>6391.63</v>
      </c>
      <c r="D6" s="12"/>
      <c r="E6" s="12"/>
      <c r="F6" s="12">
        <v>6391.63</v>
      </c>
      <c r="G6" s="12"/>
      <c r="H6" s="37">
        <f>SUM(I6:O6)</f>
        <v>146</v>
      </c>
      <c r="I6" s="12">
        <v>69</v>
      </c>
      <c r="J6" s="12">
        <v>69</v>
      </c>
      <c r="K6" s="12">
        <v>1</v>
      </c>
      <c r="L6" s="12">
        <v>1</v>
      </c>
      <c r="M6" s="12"/>
      <c r="N6" s="12">
        <v>3</v>
      </c>
      <c r="O6" s="12">
        <v>3</v>
      </c>
      <c r="P6" s="44"/>
    </row>
    <row r="7" spans="1:244" ht="25.5" customHeight="1">
      <c r="A7" s="36">
        <v>2</v>
      </c>
      <c r="B7" s="16">
        <v>1</v>
      </c>
      <c r="C7" s="12">
        <v>6391.63</v>
      </c>
      <c r="D7" s="12"/>
      <c r="E7" s="12"/>
      <c r="F7" s="12">
        <v>6391.63</v>
      </c>
      <c r="G7" s="12"/>
      <c r="H7" s="37">
        <f>SUM(I7:O7)</f>
        <v>149</v>
      </c>
      <c r="I7" s="12">
        <v>140</v>
      </c>
      <c r="J7" s="12"/>
      <c r="K7" s="12">
        <v>1</v>
      </c>
      <c r="L7" s="12"/>
      <c r="M7" s="12"/>
      <c r="N7" s="12">
        <v>8</v>
      </c>
      <c r="O7" s="12"/>
      <c r="P7" s="44"/>
    </row>
    <row r="8" spans="1:244" ht="25.5" customHeight="1">
      <c r="A8" s="36"/>
      <c r="B8" s="16"/>
      <c r="C8" s="12"/>
      <c r="D8" s="12"/>
      <c r="E8" s="12"/>
      <c r="F8" s="12"/>
      <c r="G8" s="12"/>
      <c r="H8" s="37"/>
      <c r="I8" s="12"/>
      <c r="J8" s="12"/>
      <c r="K8" s="12"/>
      <c r="L8" s="12"/>
      <c r="M8" s="12"/>
      <c r="N8" s="12"/>
      <c r="O8" s="12"/>
      <c r="P8" s="44"/>
    </row>
    <row r="9" spans="1:244" ht="25.5" customHeight="1">
      <c r="A9" s="36"/>
      <c r="B9" s="16"/>
      <c r="C9" s="12"/>
      <c r="D9" s="12"/>
      <c r="E9" s="12"/>
      <c r="F9" s="12"/>
      <c r="G9" s="12"/>
      <c r="H9" s="37"/>
      <c r="I9" s="12"/>
      <c r="J9" s="12"/>
      <c r="K9" s="12"/>
      <c r="L9" s="12"/>
      <c r="M9" s="12"/>
      <c r="N9" s="12"/>
      <c r="O9" s="12"/>
      <c r="P9" s="44"/>
    </row>
    <row r="10" spans="1:244" ht="25.5" customHeight="1">
      <c r="A10" s="36"/>
      <c r="B10" s="16"/>
      <c r="C10" s="12"/>
      <c r="D10" s="12"/>
      <c r="E10" s="12"/>
      <c r="F10" s="12"/>
      <c r="G10" s="12"/>
      <c r="H10" s="37"/>
      <c r="I10" s="12"/>
      <c r="J10" s="12"/>
      <c r="K10" s="12"/>
      <c r="L10" s="12"/>
      <c r="M10" s="12"/>
      <c r="N10" s="12"/>
      <c r="O10" s="12"/>
      <c r="P10" s="44"/>
    </row>
    <row r="11" spans="1:244" ht="25.5" customHeight="1">
      <c r="A11" s="36"/>
      <c r="B11" s="16"/>
      <c r="C11" s="12"/>
      <c r="D11" s="12"/>
      <c r="E11" s="12"/>
      <c r="F11" s="12"/>
      <c r="G11" s="12"/>
      <c r="H11" s="37"/>
      <c r="I11" s="37"/>
      <c r="J11" s="37"/>
      <c r="K11" s="37"/>
      <c r="L11" s="37"/>
      <c r="M11" s="37"/>
      <c r="N11" s="37"/>
      <c r="O11" s="37"/>
      <c r="P11" s="44"/>
    </row>
    <row r="12" spans="1:244" ht="25.5" customHeight="1">
      <c r="A12" s="38"/>
      <c r="B12" s="16"/>
      <c r="C12" s="12"/>
      <c r="D12" s="12"/>
      <c r="E12" s="12"/>
      <c r="F12" s="12"/>
      <c r="G12" s="12"/>
      <c r="H12" s="37"/>
      <c r="I12" s="37"/>
      <c r="J12" s="37"/>
      <c r="K12" s="37"/>
      <c r="L12" s="37"/>
      <c r="M12" s="37"/>
      <c r="N12" s="37"/>
      <c r="O12" s="37"/>
      <c r="P12" s="44"/>
    </row>
    <row r="13" spans="1:244" ht="25.5" customHeight="1">
      <c r="A13" s="38"/>
      <c r="B13" s="16"/>
      <c r="C13" s="12"/>
      <c r="D13" s="12"/>
      <c r="E13" s="12"/>
      <c r="F13" s="12"/>
      <c r="G13" s="12"/>
      <c r="H13" s="37"/>
      <c r="I13" s="37"/>
      <c r="J13" s="37"/>
      <c r="K13" s="37"/>
      <c r="L13" s="37"/>
      <c r="M13" s="37"/>
      <c r="N13" s="37"/>
      <c r="O13" s="37"/>
      <c r="P13" s="44"/>
    </row>
    <row r="14" spans="1:244" ht="25.5" customHeight="1">
      <c r="A14" s="38"/>
      <c r="B14" s="16"/>
      <c r="C14" s="12"/>
      <c r="D14" s="12"/>
      <c r="E14" s="12"/>
      <c r="F14" s="12"/>
      <c r="G14" s="12"/>
      <c r="H14" s="37"/>
      <c r="I14" s="37"/>
      <c r="J14" s="37"/>
      <c r="K14" s="37"/>
      <c r="L14" s="37"/>
      <c r="M14" s="37"/>
      <c r="N14" s="37"/>
      <c r="O14" s="37"/>
      <c r="P14" s="44"/>
    </row>
    <row r="15" spans="1:244" ht="25.5" customHeight="1">
      <c r="A15" s="38"/>
      <c r="B15" s="16"/>
      <c r="C15" s="12"/>
      <c r="D15" s="12"/>
      <c r="E15" s="12"/>
      <c r="F15" s="12"/>
      <c r="G15" s="12"/>
      <c r="H15" s="37"/>
      <c r="I15" s="37"/>
      <c r="J15" s="37"/>
      <c r="K15" s="37"/>
      <c r="L15" s="37"/>
      <c r="M15" s="37"/>
      <c r="N15" s="37"/>
      <c r="O15" s="37"/>
      <c r="P15" s="44"/>
    </row>
    <row r="16" spans="1:244" ht="25.5" customHeight="1">
      <c r="A16" s="38"/>
      <c r="B16" s="16"/>
      <c r="C16" s="12"/>
      <c r="D16" s="12"/>
      <c r="E16" s="12"/>
      <c r="F16" s="12"/>
      <c r="G16" s="12"/>
      <c r="H16" s="37"/>
      <c r="I16" s="37"/>
      <c r="J16" s="37"/>
      <c r="K16" s="37"/>
      <c r="L16" s="37"/>
      <c r="M16" s="37"/>
      <c r="N16" s="37"/>
      <c r="O16" s="37"/>
      <c r="P16" s="44"/>
    </row>
    <row r="17" spans="1:245" ht="25.5" customHeight="1">
      <c r="A17" s="38"/>
      <c r="B17" s="16"/>
      <c r="C17" s="12"/>
      <c r="D17" s="12"/>
      <c r="E17" s="12"/>
      <c r="F17" s="12"/>
      <c r="G17" s="12"/>
      <c r="H17" s="37"/>
      <c r="I17" s="37"/>
      <c r="J17" s="37"/>
      <c r="K17" s="37"/>
      <c r="L17" s="37"/>
      <c r="M17" s="37"/>
      <c r="N17" s="37"/>
      <c r="O17" s="37"/>
      <c r="P17" s="44"/>
    </row>
    <row r="18" spans="1:245" ht="25.5" customHeight="1">
      <c r="A18" s="7"/>
      <c r="B18" s="8"/>
      <c r="C18" s="12"/>
      <c r="D18" s="12"/>
      <c r="E18" s="12"/>
      <c r="F18" s="12"/>
      <c r="G18" s="12"/>
      <c r="H18" s="37"/>
      <c r="I18" s="37"/>
      <c r="J18" s="37"/>
      <c r="K18" s="37"/>
      <c r="L18" s="37"/>
      <c r="M18" s="37"/>
      <c r="N18" s="37"/>
      <c r="O18" s="37"/>
      <c r="P18" s="44"/>
    </row>
    <row r="19" spans="1:245" ht="25.5" customHeight="1">
      <c r="A19" s="7"/>
      <c r="B19" s="8"/>
      <c r="C19" s="12"/>
      <c r="D19" s="39"/>
      <c r="E19" s="39"/>
      <c r="F19" s="39"/>
      <c r="G19" s="40"/>
      <c r="H19" s="40"/>
      <c r="I19" s="40"/>
      <c r="J19" s="40"/>
      <c r="K19" s="40"/>
      <c r="L19" s="40"/>
      <c r="M19" s="40"/>
      <c r="N19" s="40"/>
      <c r="O19" s="40"/>
      <c r="P19" s="44"/>
    </row>
    <row r="20" spans="1:245" ht="25.5" customHeight="1">
      <c r="A20" s="7"/>
      <c r="B20" s="8"/>
      <c r="C20" s="12"/>
      <c r="D20" s="39"/>
      <c r="E20" s="39"/>
      <c r="F20" s="39"/>
      <c r="G20" s="40"/>
      <c r="H20" s="40"/>
      <c r="I20" s="40"/>
      <c r="J20" s="40"/>
      <c r="K20" s="40"/>
      <c r="L20" s="40"/>
      <c r="M20" s="40"/>
      <c r="N20" s="40"/>
      <c r="O20" s="40"/>
      <c r="P20" s="44"/>
    </row>
    <row r="21" spans="1:245" ht="25.5" customHeight="1">
      <c r="A21" s="7"/>
      <c r="B21" s="8"/>
      <c r="C21" s="12"/>
      <c r="D21" s="39"/>
      <c r="E21" s="39"/>
      <c r="F21" s="12"/>
      <c r="G21" s="37"/>
      <c r="H21" s="37"/>
      <c r="I21" s="37"/>
      <c r="J21" s="37"/>
      <c r="K21" s="37"/>
      <c r="L21" s="37"/>
      <c r="M21" s="37"/>
      <c r="N21" s="37"/>
      <c r="O21" s="37"/>
      <c r="P21" s="44"/>
    </row>
    <row r="22" spans="1:245" ht="25.5" customHeight="1">
      <c r="A22" s="132" t="s">
        <v>42</v>
      </c>
      <c r="B22" s="133"/>
      <c r="C22" s="41">
        <f>SUM(C6:C21)</f>
        <v>12783.26</v>
      </c>
      <c r="D22" s="41"/>
      <c r="E22" s="41"/>
      <c r="F22" s="41">
        <f>SUM(F6:F21)</f>
        <v>12783.26</v>
      </c>
      <c r="G22" s="41"/>
      <c r="H22" s="42">
        <f>SUM(H6:H21)</f>
        <v>295</v>
      </c>
      <c r="I22" s="42">
        <f>SUM(I6:I21)</f>
        <v>209</v>
      </c>
      <c r="J22" s="42">
        <f>SUM(J6:J21)</f>
        <v>69</v>
      </c>
      <c r="K22" s="42">
        <f>SUM(K6:K21)</f>
        <v>2</v>
      </c>
      <c r="L22" s="42">
        <f>SUM(L6:L21)</f>
        <v>1</v>
      </c>
      <c r="M22" s="42"/>
      <c r="N22" s="42">
        <f>SUM(N6:N21)</f>
        <v>11</v>
      </c>
      <c r="O22" s="42">
        <f>SUM(O6:O21)</f>
        <v>3</v>
      </c>
      <c r="P22" s="41"/>
    </row>
    <row r="23" spans="1:245" ht="14.25" customHeight="1">
      <c r="A23" s="134" t="s">
        <v>90</v>
      </c>
      <c r="B23" s="135"/>
      <c r="C23" s="135"/>
      <c r="D23" s="135"/>
      <c r="E23" s="135"/>
      <c r="F23" s="135"/>
      <c r="G23" s="135"/>
      <c r="H23" s="43"/>
      <c r="I23" s="43"/>
      <c r="J23" s="43"/>
      <c r="K23" s="43"/>
      <c r="L23" s="43"/>
      <c r="M23" s="43"/>
      <c r="N23" s="136" t="s">
        <v>50</v>
      </c>
      <c r="O23" s="136"/>
      <c r="P23" s="136"/>
      <c r="Q23" s="15"/>
      <c r="R23" s="15"/>
      <c r="S23" s="15"/>
      <c r="T23" s="1"/>
      <c r="U23" s="1"/>
      <c r="V23" s="1"/>
      <c r="IF23" s="34"/>
      <c r="IG23" s="34"/>
      <c r="IH23" s="34"/>
      <c r="II23" s="34"/>
      <c r="IJ23" s="34"/>
      <c r="IK23" s="34"/>
    </row>
  </sheetData>
  <mergeCells count="24">
    <mergeCell ref="N4:N5"/>
    <mergeCell ref="O4:O5"/>
    <mergeCell ref="P3:P5"/>
    <mergeCell ref="A22:B22"/>
    <mergeCell ref="A23:G23"/>
    <mergeCell ref="N23:P23"/>
    <mergeCell ref="A3:A5"/>
    <mergeCell ref="B3:B5"/>
    <mergeCell ref="C3:C5"/>
    <mergeCell ref="D4:D5"/>
    <mergeCell ref="E4:E5"/>
    <mergeCell ref="F4:F5"/>
    <mergeCell ref="G4:G5"/>
    <mergeCell ref="H3:H5"/>
    <mergeCell ref="I4:I5"/>
    <mergeCell ref="J4:J5"/>
    <mergeCell ref="K4:K5"/>
    <mergeCell ref="L4:L5"/>
    <mergeCell ref="M4:M5"/>
    <mergeCell ref="A1:P1"/>
    <mergeCell ref="A2:E2"/>
    <mergeCell ref="D3:E3"/>
    <mergeCell ref="F3:G3"/>
    <mergeCell ref="I3:O3"/>
  </mergeCells>
  <phoneticPr fontId="99" type="noConversion"/>
  <printOptions horizontalCentered="1"/>
  <pageMargins left="0.74803149606299202" right="0.74803149606299202" top="0.98425196850393704" bottom="0.98425196850393704" header="0.511811023622047" footer="0.511811023622047"/>
  <pageSetup paperSize="8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39"/>
  <sheetViews>
    <sheetView view="pageBreakPreview" topLeftCell="A4" zoomScale="115" zoomScaleNormal="70" workbookViewId="0">
      <selection activeCell="H9" sqref="H9"/>
    </sheetView>
  </sheetViews>
  <sheetFormatPr defaultColWidth="9" defaultRowHeight="14.35"/>
  <cols>
    <col min="1" max="2" width="4" style="1" customWidth="1"/>
    <col min="3" max="3" width="3.3515625" style="1" customWidth="1"/>
    <col min="4" max="4" width="29.1171875" style="1" customWidth="1"/>
    <col min="5" max="6" width="9" style="1" hidden="1" customWidth="1"/>
    <col min="7" max="7" width="17.64453125" style="1" customWidth="1"/>
    <col min="8" max="8" width="16.64453125" style="1" customWidth="1"/>
    <col min="9" max="9" width="10.3515625" style="1" customWidth="1"/>
    <col min="10" max="16384" width="9" style="1"/>
  </cols>
  <sheetData>
    <row r="1" spans="1:9" ht="39.950000000000003" customHeight="1">
      <c r="A1" s="95" t="s">
        <v>91</v>
      </c>
      <c r="B1" s="95"/>
      <c r="C1" s="95"/>
      <c r="D1" s="95"/>
      <c r="E1" s="95"/>
      <c r="F1" s="95"/>
      <c r="G1" s="95"/>
      <c r="H1" s="95"/>
      <c r="I1" s="95"/>
    </row>
    <row r="2" spans="1:9" ht="30" customHeight="1">
      <c r="A2" s="155" t="s">
        <v>92</v>
      </c>
      <c r="B2" s="156"/>
      <c r="C2" s="156"/>
      <c r="D2" s="156"/>
      <c r="E2" s="156"/>
      <c r="F2" s="156"/>
      <c r="G2" s="157" t="s">
        <v>93</v>
      </c>
      <c r="H2" s="156"/>
      <c r="I2" s="158"/>
    </row>
    <row r="3" spans="1:9" ht="30" customHeight="1">
      <c r="A3" s="159" t="s">
        <v>94</v>
      </c>
      <c r="B3" s="160"/>
      <c r="C3" s="160"/>
      <c r="D3" s="160"/>
      <c r="E3" s="160"/>
      <c r="F3" s="160"/>
      <c r="G3" s="157" t="s">
        <v>95</v>
      </c>
      <c r="H3" s="156"/>
      <c r="I3" s="158"/>
    </row>
    <row r="4" spans="1:9" ht="30" customHeight="1">
      <c r="A4" s="82" t="s">
        <v>96</v>
      </c>
      <c r="B4" s="160"/>
      <c r="C4" s="160"/>
      <c r="D4" s="160"/>
      <c r="E4" s="160"/>
      <c r="F4" s="160"/>
      <c r="G4" s="24" t="s">
        <v>97</v>
      </c>
      <c r="H4" s="24" t="s">
        <v>98</v>
      </c>
      <c r="I4" s="33" t="s">
        <v>4</v>
      </c>
    </row>
    <row r="5" spans="1:9" ht="18" customHeight="1">
      <c r="A5" s="94" t="s">
        <v>99</v>
      </c>
      <c r="B5" s="160"/>
      <c r="C5" s="160"/>
      <c r="D5" s="160"/>
      <c r="E5" s="160"/>
      <c r="F5" s="160"/>
      <c r="G5" s="26">
        <v>9388.58</v>
      </c>
      <c r="H5" s="26">
        <v>9388.58</v>
      </c>
      <c r="I5" s="31"/>
    </row>
    <row r="6" spans="1:9" ht="18" customHeight="1">
      <c r="A6" s="94" t="s">
        <v>100</v>
      </c>
      <c r="B6" s="160"/>
      <c r="C6" s="160"/>
      <c r="D6" s="160"/>
      <c r="E6" s="160"/>
      <c r="F6" s="160"/>
      <c r="G6" s="26"/>
      <c r="H6" s="26">
        <f>综统!F20</f>
        <v>2811.19</v>
      </c>
      <c r="I6" s="31"/>
    </row>
    <row r="7" spans="1:9" ht="18" customHeight="1">
      <c r="A7" s="94" t="s">
        <v>101</v>
      </c>
      <c r="B7" s="160"/>
      <c r="C7" s="160"/>
      <c r="D7" s="160"/>
      <c r="E7" s="160"/>
      <c r="F7" s="160"/>
      <c r="G7" s="26"/>
      <c r="H7" s="26">
        <f>综统!G20</f>
        <v>42780.75</v>
      </c>
      <c r="I7" s="31"/>
    </row>
    <row r="8" spans="1:9" ht="18" customHeight="1">
      <c r="A8" s="167" t="s">
        <v>102</v>
      </c>
      <c r="B8" s="83" t="s">
        <v>103</v>
      </c>
      <c r="C8" s="160"/>
      <c r="D8" s="160"/>
      <c r="E8" s="160"/>
      <c r="F8" s="160"/>
      <c r="G8" s="26"/>
      <c r="H8" s="26">
        <f>综统!H20</f>
        <v>29997.49</v>
      </c>
      <c r="I8" s="31"/>
    </row>
    <row r="9" spans="1:9" ht="24" customHeight="1">
      <c r="A9" s="168"/>
      <c r="B9" s="169" t="s">
        <v>102</v>
      </c>
      <c r="C9" s="83" t="s">
        <v>104</v>
      </c>
      <c r="D9" s="160"/>
      <c r="E9" s="160"/>
      <c r="F9" s="160"/>
      <c r="G9" s="26" t="s">
        <v>105</v>
      </c>
      <c r="H9" s="26">
        <f>综统!I20</f>
        <v>28266.58</v>
      </c>
      <c r="I9" s="31"/>
    </row>
    <row r="10" spans="1:9" ht="18" customHeight="1">
      <c r="A10" s="168"/>
      <c r="B10" s="170"/>
      <c r="C10" s="169" t="s">
        <v>102</v>
      </c>
      <c r="D10" s="83" t="s">
        <v>106</v>
      </c>
      <c r="E10" s="160"/>
      <c r="F10" s="160"/>
      <c r="G10" s="28"/>
      <c r="H10" s="26">
        <f>综统!J20</f>
        <v>24749.24</v>
      </c>
      <c r="I10" s="31"/>
    </row>
    <row r="11" spans="1:9" ht="18" customHeight="1">
      <c r="A11" s="168"/>
      <c r="B11" s="170"/>
      <c r="C11" s="170"/>
      <c r="D11" s="161" t="s">
        <v>107</v>
      </c>
      <c r="E11" s="162"/>
      <c r="F11" s="163"/>
      <c r="G11" s="26" t="s">
        <v>108</v>
      </c>
      <c r="H11" s="26">
        <f>综统!K20</f>
        <v>1802.45</v>
      </c>
      <c r="I11" s="31"/>
    </row>
    <row r="12" spans="1:9" ht="18" customHeight="1">
      <c r="A12" s="168"/>
      <c r="B12" s="170"/>
      <c r="C12" s="170"/>
      <c r="D12" s="161" t="s">
        <v>109</v>
      </c>
      <c r="E12" s="162"/>
      <c r="F12" s="163"/>
      <c r="G12" s="26" t="s">
        <v>110</v>
      </c>
      <c r="H12" s="26">
        <f>综统!L20</f>
        <v>1001.15</v>
      </c>
      <c r="I12" s="31"/>
    </row>
    <row r="13" spans="1:9" ht="18" customHeight="1">
      <c r="A13" s="168"/>
      <c r="B13" s="170"/>
      <c r="C13" s="170"/>
      <c r="D13" s="164" t="s">
        <v>111</v>
      </c>
      <c r="E13" s="160"/>
      <c r="F13" s="160"/>
      <c r="G13" s="26" t="s">
        <v>112</v>
      </c>
      <c r="H13" s="26">
        <f>综统!M20</f>
        <v>601.74</v>
      </c>
      <c r="I13" s="31"/>
    </row>
    <row r="14" spans="1:9" ht="18" customHeight="1">
      <c r="A14" s="168"/>
      <c r="B14" s="170"/>
      <c r="C14" s="170"/>
      <c r="D14" s="164" t="s">
        <v>113</v>
      </c>
      <c r="E14" s="160"/>
      <c r="F14" s="160"/>
      <c r="G14" s="26"/>
      <c r="H14" s="26">
        <f>综统!N20</f>
        <v>54.84</v>
      </c>
      <c r="I14" s="31"/>
    </row>
    <row r="15" spans="1:9" ht="18" customHeight="1">
      <c r="A15" s="168"/>
      <c r="B15" s="170"/>
      <c r="C15" s="170"/>
      <c r="D15" s="164" t="s">
        <v>114</v>
      </c>
      <c r="E15" s="160"/>
      <c r="F15" s="160"/>
      <c r="G15" s="26"/>
      <c r="H15" s="26">
        <f>综统!O20</f>
        <v>57.16</v>
      </c>
      <c r="I15" s="31"/>
    </row>
    <row r="16" spans="1:9" ht="18" customHeight="1">
      <c r="A16" s="168"/>
      <c r="B16" s="170"/>
      <c r="C16" s="171"/>
      <c r="D16" s="29" t="s">
        <v>115</v>
      </c>
      <c r="E16" s="23"/>
      <c r="F16" s="23"/>
      <c r="G16" s="26"/>
      <c r="H16" s="26"/>
      <c r="I16" s="31"/>
    </row>
    <row r="17" spans="1:9" ht="18" customHeight="1">
      <c r="A17" s="168"/>
      <c r="B17" s="170"/>
      <c r="C17" s="83" t="s">
        <v>116</v>
      </c>
      <c r="D17" s="160"/>
      <c r="E17" s="160"/>
      <c r="F17" s="160"/>
      <c r="G17" s="26"/>
      <c r="H17" s="26">
        <f>综统!P20</f>
        <v>1063.29</v>
      </c>
      <c r="I17" s="31"/>
    </row>
    <row r="18" spans="1:9" ht="18" customHeight="1">
      <c r="A18" s="168"/>
      <c r="B18" s="170"/>
      <c r="C18" s="169" t="s">
        <v>102</v>
      </c>
      <c r="D18" s="164" t="s">
        <v>117</v>
      </c>
      <c r="E18" s="160"/>
      <c r="F18" s="160"/>
      <c r="G18" s="26"/>
      <c r="H18" s="26">
        <f>综统!Q20</f>
        <v>300.77999999999997</v>
      </c>
      <c r="I18" s="31"/>
    </row>
    <row r="19" spans="1:9" ht="18" customHeight="1">
      <c r="A19" s="168"/>
      <c r="B19" s="170"/>
      <c r="C19" s="170"/>
      <c r="D19" s="164" t="s">
        <v>118</v>
      </c>
      <c r="E19" s="160"/>
      <c r="F19" s="160"/>
      <c r="G19" s="26"/>
      <c r="H19" s="26">
        <f>综统!R20</f>
        <v>188.39</v>
      </c>
      <c r="I19" s="31"/>
    </row>
    <row r="20" spans="1:9" ht="18" customHeight="1">
      <c r="A20" s="168"/>
      <c r="B20" s="170"/>
      <c r="C20" s="170"/>
      <c r="D20" s="164" t="s">
        <v>119</v>
      </c>
      <c r="E20" s="160"/>
      <c r="F20" s="160"/>
      <c r="G20" s="26"/>
      <c r="H20" s="26">
        <f>综统!S20</f>
        <v>574.12</v>
      </c>
      <c r="I20" s="31"/>
    </row>
    <row r="21" spans="1:9" ht="18" customHeight="1">
      <c r="A21" s="168"/>
      <c r="B21" s="170"/>
      <c r="C21" s="171"/>
      <c r="D21" s="29" t="s">
        <v>115</v>
      </c>
      <c r="E21" s="23"/>
      <c r="F21" s="23"/>
      <c r="G21" s="26"/>
      <c r="H21" s="26"/>
      <c r="I21" s="31"/>
    </row>
    <row r="22" spans="1:9" ht="18" customHeight="1">
      <c r="A22" s="168"/>
      <c r="B22" s="170"/>
      <c r="C22" s="83" t="s">
        <v>120</v>
      </c>
      <c r="D22" s="160"/>
      <c r="E22" s="160"/>
      <c r="F22" s="160"/>
      <c r="G22" s="26"/>
      <c r="H22" s="26">
        <f>综统!T20</f>
        <v>667.62</v>
      </c>
      <c r="I22" s="31"/>
    </row>
    <row r="23" spans="1:9" ht="18" customHeight="1">
      <c r="A23" s="168"/>
      <c r="B23" s="170"/>
      <c r="C23" s="169" t="s">
        <v>102</v>
      </c>
      <c r="D23" s="83" t="s">
        <v>121</v>
      </c>
      <c r="E23" s="160"/>
      <c r="F23" s="160"/>
      <c r="G23" s="26"/>
      <c r="H23" s="26">
        <f>综统!U20</f>
        <v>467.97</v>
      </c>
      <c r="I23" s="31"/>
    </row>
    <row r="24" spans="1:9" ht="18" customHeight="1">
      <c r="A24" s="168"/>
      <c r="B24" s="170"/>
      <c r="C24" s="170"/>
      <c r="D24" s="164" t="s">
        <v>122</v>
      </c>
      <c r="E24" s="160"/>
      <c r="F24" s="160"/>
      <c r="G24" s="26"/>
      <c r="H24" s="26">
        <f>综统!V20</f>
        <v>199.65</v>
      </c>
      <c r="I24" s="31"/>
    </row>
    <row r="25" spans="1:9" ht="18" customHeight="1">
      <c r="A25" s="168"/>
      <c r="B25" s="170"/>
      <c r="C25" s="171"/>
      <c r="D25" s="29" t="s">
        <v>115</v>
      </c>
      <c r="E25" s="23"/>
      <c r="F25" s="30"/>
      <c r="G25" s="26"/>
      <c r="H25" s="26"/>
      <c r="I25" s="31"/>
    </row>
    <row r="26" spans="1:9" ht="18" customHeight="1">
      <c r="A26" s="168"/>
      <c r="B26" s="171"/>
      <c r="C26" s="83" t="s">
        <v>123</v>
      </c>
      <c r="D26" s="83"/>
      <c r="E26" s="83"/>
      <c r="F26" s="165"/>
      <c r="G26" s="26"/>
      <c r="H26" s="26"/>
      <c r="I26" s="31"/>
    </row>
    <row r="27" spans="1:9" ht="18" customHeight="1">
      <c r="A27" s="168"/>
      <c r="B27" s="83" t="s">
        <v>124</v>
      </c>
      <c r="C27" s="160"/>
      <c r="D27" s="160"/>
      <c r="E27" s="160"/>
      <c r="F27" s="160"/>
      <c r="G27" s="26"/>
      <c r="H27" s="26">
        <f>H28+H30</f>
        <v>12783.26</v>
      </c>
      <c r="I27" s="31"/>
    </row>
    <row r="28" spans="1:9" ht="18" customHeight="1">
      <c r="A28" s="168"/>
      <c r="B28" s="83" t="s">
        <v>102</v>
      </c>
      <c r="C28" s="83" t="s">
        <v>125</v>
      </c>
      <c r="D28" s="83"/>
      <c r="E28" s="83"/>
      <c r="F28" s="83"/>
      <c r="G28" s="26"/>
      <c r="H28" s="26"/>
      <c r="I28" s="31"/>
    </row>
    <row r="29" spans="1:9" ht="18" customHeight="1">
      <c r="A29" s="168"/>
      <c r="B29" s="83"/>
      <c r="C29" s="27"/>
      <c r="D29" s="32" t="s">
        <v>126</v>
      </c>
      <c r="E29" s="166" t="s">
        <v>127</v>
      </c>
      <c r="F29" s="160"/>
      <c r="G29" s="26"/>
      <c r="H29" s="26"/>
      <c r="I29" s="31"/>
    </row>
    <row r="30" spans="1:9" ht="18" customHeight="1">
      <c r="A30" s="168"/>
      <c r="B30" s="83"/>
      <c r="C30" s="83" t="s">
        <v>128</v>
      </c>
      <c r="D30" s="83"/>
      <c r="E30" s="83"/>
      <c r="F30" s="83"/>
      <c r="G30" s="26"/>
      <c r="H30" s="27">
        <f>综统!X20</f>
        <v>12783.26</v>
      </c>
      <c r="I30" s="31"/>
    </row>
    <row r="31" spans="1:9" ht="18" customHeight="1">
      <c r="A31" s="168"/>
      <c r="B31" s="83"/>
      <c r="C31" s="83" t="s">
        <v>102</v>
      </c>
      <c r="D31" s="27" t="s">
        <v>129</v>
      </c>
      <c r="E31" s="83" t="s">
        <v>129</v>
      </c>
      <c r="F31" s="160"/>
      <c r="G31" s="26"/>
      <c r="H31" s="27">
        <f>综统!X20</f>
        <v>12783.26</v>
      </c>
      <c r="I31" s="31"/>
    </row>
    <row r="32" spans="1:9" ht="18" customHeight="1">
      <c r="A32" s="168"/>
      <c r="B32" s="83"/>
      <c r="C32" s="83"/>
      <c r="D32" s="32" t="s">
        <v>127</v>
      </c>
      <c r="E32" s="166" t="s">
        <v>127</v>
      </c>
      <c r="F32" s="160"/>
      <c r="G32" s="27"/>
      <c r="H32" s="27"/>
      <c r="I32" s="31"/>
    </row>
    <row r="33" spans="1:9" ht="18" customHeight="1">
      <c r="A33" s="94" t="s">
        <v>130</v>
      </c>
      <c r="B33" s="160"/>
      <c r="C33" s="160"/>
      <c r="D33" s="160"/>
      <c r="E33" s="160"/>
      <c r="F33" s="160"/>
      <c r="G33" s="27"/>
      <c r="H33" s="26">
        <f>H9/H5</f>
        <v>3.01</v>
      </c>
      <c r="I33" s="31"/>
    </row>
    <row r="34" spans="1:9" ht="18" customHeight="1">
      <c r="A34" s="94" t="s">
        <v>131</v>
      </c>
      <c r="B34" s="160"/>
      <c r="C34" s="160"/>
      <c r="D34" s="160"/>
      <c r="E34" s="160"/>
      <c r="F34" s="160"/>
      <c r="G34" s="26"/>
      <c r="H34" s="26">
        <f>H6/H5*100</f>
        <v>29.94</v>
      </c>
      <c r="I34" s="31"/>
    </row>
    <row r="35" spans="1:9" ht="18" customHeight="1">
      <c r="A35" s="94" t="s">
        <v>132</v>
      </c>
      <c r="B35" s="83"/>
      <c r="C35" s="83"/>
      <c r="D35" s="27" t="s">
        <v>133</v>
      </c>
      <c r="E35" s="27"/>
      <c r="F35" s="27" t="s">
        <v>134</v>
      </c>
      <c r="G35" s="27"/>
      <c r="H35" s="27"/>
      <c r="I35" s="31"/>
    </row>
    <row r="36" spans="1:9" ht="18" customHeight="1">
      <c r="A36" s="94"/>
      <c r="B36" s="83"/>
      <c r="C36" s="83"/>
      <c r="D36" s="27" t="s">
        <v>135</v>
      </c>
      <c r="E36" s="27"/>
      <c r="F36" s="27" t="s">
        <v>81</v>
      </c>
      <c r="G36" s="27"/>
      <c r="H36" s="27">
        <v>295</v>
      </c>
      <c r="I36" s="31"/>
    </row>
    <row r="37" spans="1:9" ht="18" customHeight="1">
      <c r="A37" s="172"/>
      <c r="B37" s="173"/>
      <c r="C37" s="173"/>
      <c r="D37" s="173"/>
      <c r="E37" s="173"/>
      <c r="F37" s="173"/>
      <c r="G37" s="173"/>
      <c r="H37" s="173"/>
      <c r="I37" s="174"/>
    </row>
    <row r="38" spans="1:9" ht="18" customHeight="1">
      <c r="A38" s="175"/>
      <c r="B38" s="176"/>
      <c r="C38" s="176"/>
      <c r="D38" s="176"/>
      <c r="E38" s="176"/>
      <c r="F38" s="176"/>
      <c r="G38" s="176"/>
      <c r="H38" s="176"/>
      <c r="I38" s="177"/>
    </row>
    <row r="39" spans="1:9" ht="21" customHeight="1">
      <c r="A39" s="93" t="s">
        <v>136</v>
      </c>
      <c r="B39" s="93"/>
      <c r="C39" s="93"/>
      <c r="D39" s="93"/>
      <c r="E39" s="93"/>
      <c r="F39" s="93"/>
      <c r="G39" s="93"/>
      <c r="H39" s="93"/>
      <c r="I39" s="93"/>
    </row>
  </sheetData>
  <mergeCells count="43">
    <mergeCell ref="E32:F32"/>
    <mergeCell ref="A33:F33"/>
    <mergeCell ref="A34:F34"/>
    <mergeCell ref="A39:I39"/>
    <mergeCell ref="A8:A32"/>
    <mergeCell ref="B9:B26"/>
    <mergeCell ref="B28:B32"/>
    <mergeCell ref="C10:C16"/>
    <mergeCell ref="C18:C21"/>
    <mergeCell ref="C23:C25"/>
    <mergeCell ref="C31:C32"/>
    <mergeCell ref="A35:C36"/>
    <mergeCell ref="A37:I38"/>
    <mergeCell ref="B27:F27"/>
    <mergeCell ref="C28:F28"/>
    <mergeCell ref="E29:F29"/>
    <mergeCell ref="C30:F30"/>
    <mergeCell ref="E31:F31"/>
    <mergeCell ref="D20:F20"/>
    <mergeCell ref="C22:F22"/>
    <mergeCell ref="D23:F23"/>
    <mergeCell ref="D24:F24"/>
    <mergeCell ref="C26:F26"/>
    <mergeCell ref="D14:F14"/>
    <mergeCell ref="D15:F15"/>
    <mergeCell ref="C17:F17"/>
    <mergeCell ref="D18:F18"/>
    <mergeCell ref="D19:F19"/>
    <mergeCell ref="C9:F9"/>
    <mergeCell ref="D10:F10"/>
    <mergeCell ref="D11:F11"/>
    <mergeCell ref="D12:F12"/>
    <mergeCell ref="D13:F13"/>
    <mergeCell ref="A4:F4"/>
    <mergeCell ref="A5:F5"/>
    <mergeCell ref="A6:F6"/>
    <mergeCell ref="A7:F7"/>
    <mergeCell ref="B8:F8"/>
    <mergeCell ref="A1:I1"/>
    <mergeCell ref="A2:F2"/>
    <mergeCell ref="G2:I2"/>
    <mergeCell ref="A3:F3"/>
    <mergeCell ref="G3:I3"/>
  </mergeCells>
  <phoneticPr fontId="99" type="noConversion"/>
  <printOptions horizontalCentered="1" verticalCentered="1"/>
  <pageMargins left="0.25" right="0.25" top="0.75" bottom="0.75" header="0.3" footer="0.3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L22"/>
  <sheetViews>
    <sheetView showZeros="0" zoomScale="85" zoomScaleNormal="85" workbookViewId="0">
      <selection activeCell="I20" sqref="I20"/>
    </sheetView>
  </sheetViews>
  <sheetFormatPr defaultColWidth="7.87890625" defaultRowHeight="15.35"/>
  <cols>
    <col min="1" max="1" width="9.46875" style="3" customWidth="1"/>
    <col min="2" max="2" width="4.87890625" style="3" customWidth="1"/>
    <col min="3" max="3" width="5" style="3" customWidth="1"/>
    <col min="4" max="4" width="8.46875" style="3" customWidth="1"/>
    <col min="5" max="5" width="6" style="3" customWidth="1"/>
    <col min="6" max="6" width="9.76171875" style="3" customWidth="1"/>
    <col min="7" max="7" width="10" style="3" customWidth="1"/>
    <col min="8" max="8" width="11.76171875" style="3" customWidth="1"/>
    <col min="9" max="16" width="11.1171875" style="4" customWidth="1"/>
    <col min="17" max="17" width="12.46875" style="4" customWidth="1"/>
    <col min="18" max="20" width="11.1171875" style="4" customWidth="1"/>
    <col min="21" max="23" width="11.1171875" style="3" customWidth="1"/>
    <col min="24" max="24" width="14.3515625" style="3" customWidth="1"/>
    <col min="25" max="25" width="8.3515625" style="3" customWidth="1"/>
    <col min="26" max="16384" width="7.87890625" style="3"/>
  </cols>
  <sheetData>
    <row r="1" spans="1:246" s="1" customFormat="1" ht="23">
      <c r="A1" s="127" t="s">
        <v>137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7" t="s">
        <v>77</v>
      </c>
      <c r="Y1" s="17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</row>
    <row r="2" spans="1:246" s="2" customFormat="1" ht="18" customHeight="1">
      <c r="A2" s="187" t="s">
        <v>1</v>
      </c>
      <c r="B2" s="189" t="s">
        <v>25</v>
      </c>
      <c r="C2" s="189"/>
      <c r="D2" s="189" t="s">
        <v>138</v>
      </c>
      <c r="E2" s="189" t="s">
        <v>139</v>
      </c>
      <c r="F2" s="189" t="s">
        <v>26</v>
      </c>
      <c r="G2" s="129" t="s">
        <v>140</v>
      </c>
      <c r="H2" s="129" t="s">
        <v>141</v>
      </c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 t="s">
        <v>142</v>
      </c>
      <c r="X2" s="130"/>
      <c r="Y2" s="192" t="s">
        <v>143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</row>
    <row r="3" spans="1:246" s="2" customFormat="1" ht="18" customHeight="1">
      <c r="A3" s="188"/>
      <c r="B3" s="190"/>
      <c r="C3" s="190"/>
      <c r="D3" s="190"/>
      <c r="E3" s="190"/>
      <c r="F3" s="190"/>
      <c r="G3" s="190"/>
      <c r="H3" s="142" t="s">
        <v>144</v>
      </c>
      <c r="I3" s="178" t="s">
        <v>145</v>
      </c>
      <c r="J3" s="179"/>
      <c r="K3" s="179"/>
      <c r="L3" s="179"/>
      <c r="M3" s="179"/>
      <c r="N3" s="179"/>
      <c r="O3" s="180"/>
      <c r="P3" s="178" t="s">
        <v>146</v>
      </c>
      <c r="Q3" s="179"/>
      <c r="R3" s="179"/>
      <c r="S3" s="180"/>
      <c r="T3" s="178" t="s">
        <v>147</v>
      </c>
      <c r="U3" s="179"/>
      <c r="V3" s="180"/>
      <c r="W3" s="142" t="s">
        <v>148</v>
      </c>
      <c r="X3" s="18" t="s">
        <v>149</v>
      </c>
      <c r="Y3" s="154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</row>
    <row r="4" spans="1:246" s="2" customFormat="1" ht="18" customHeight="1">
      <c r="A4" s="188"/>
      <c r="B4" s="190"/>
      <c r="C4" s="190"/>
      <c r="D4" s="190"/>
      <c r="E4" s="190"/>
      <c r="F4" s="190"/>
      <c r="G4" s="190"/>
      <c r="H4" s="190"/>
      <c r="I4" s="190" t="s">
        <v>150</v>
      </c>
      <c r="J4" s="190" t="s">
        <v>32</v>
      </c>
      <c r="K4" s="118" t="s">
        <v>5</v>
      </c>
      <c r="L4" s="118" t="s">
        <v>6</v>
      </c>
      <c r="M4" s="118" t="s">
        <v>7</v>
      </c>
      <c r="N4" s="191" t="s">
        <v>8</v>
      </c>
      <c r="O4" s="190" t="s">
        <v>9</v>
      </c>
      <c r="P4" s="190" t="s">
        <v>150</v>
      </c>
      <c r="Q4" s="191" t="s">
        <v>10</v>
      </c>
      <c r="R4" s="191" t="s">
        <v>11</v>
      </c>
      <c r="S4" s="191" t="s">
        <v>12</v>
      </c>
      <c r="T4" s="190" t="s">
        <v>150</v>
      </c>
      <c r="U4" s="191" t="s">
        <v>13</v>
      </c>
      <c r="V4" s="191" t="s">
        <v>14</v>
      </c>
      <c r="W4" s="190"/>
      <c r="X4" s="190" t="s">
        <v>151</v>
      </c>
      <c r="Y4" s="154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</row>
    <row r="5" spans="1:246" s="2" customFormat="1" ht="24.95" customHeight="1">
      <c r="A5" s="188"/>
      <c r="B5" s="6" t="s">
        <v>152</v>
      </c>
      <c r="C5" s="6" t="s">
        <v>153</v>
      </c>
      <c r="D5" s="190"/>
      <c r="E5" s="190"/>
      <c r="F5" s="190"/>
      <c r="G5" s="190"/>
      <c r="H5" s="190"/>
      <c r="I5" s="190"/>
      <c r="J5" s="190"/>
      <c r="K5" s="119"/>
      <c r="L5" s="119"/>
      <c r="M5" s="119"/>
      <c r="N5" s="142"/>
      <c r="O5" s="190"/>
      <c r="P5" s="190"/>
      <c r="Q5" s="142"/>
      <c r="R5" s="142"/>
      <c r="S5" s="142"/>
      <c r="T5" s="190"/>
      <c r="U5" s="142"/>
      <c r="V5" s="142"/>
      <c r="W5" s="190"/>
      <c r="X5" s="190"/>
      <c r="Y5" s="154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</row>
    <row r="6" spans="1:246" s="1" customFormat="1" ht="32.25" customHeight="1">
      <c r="A6" s="7" t="s">
        <v>23</v>
      </c>
      <c r="B6" s="8">
        <v>27</v>
      </c>
      <c r="C6" s="9"/>
      <c r="D6" s="10">
        <v>85.75</v>
      </c>
      <c r="E6" s="11">
        <v>3.15</v>
      </c>
      <c r="F6" s="11">
        <f>'1#'!C6</f>
        <v>1466.17</v>
      </c>
      <c r="G6" s="11">
        <f>H6+W6</f>
        <v>15851.99</v>
      </c>
      <c r="H6" s="11">
        <f>I6+P6+T6</f>
        <v>15851.99</v>
      </c>
      <c r="I6" s="11">
        <f>SUM(J6:O6)</f>
        <v>15155.7</v>
      </c>
      <c r="J6" s="11">
        <f>'  单体1#'!C4</f>
        <v>13378.67</v>
      </c>
      <c r="K6" s="11">
        <f>'  单体1#'!C5</f>
        <v>119.3</v>
      </c>
      <c r="L6" s="11">
        <f>'  单体1#'!C6</f>
        <v>1001.15</v>
      </c>
      <c r="M6" s="11">
        <f>'  单体1#'!C7</f>
        <v>601.74</v>
      </c>
      <c r="N6" s="11">
        <f>'  单体1#'!C8</f>
        <v>54.84</v>
      </c>
      <c r="O6" s="11">
        <f>'  单体1#'!C9</f>
        <v>0</v>
      </c>
      <c r="P6" s="11">
        <f>SUM(Q6:S6)</f>
        <v>598.79</v>
      </c>
      <c r="Q6" s="11">
        <f>'  单体1#'!C10</f>
        <v>300.77999999999997</v>
      </c>
      <c r="R6" s="11">
        <f>'  单体1#'!C11</f>
        <v>91.87</v>
      </c>
      <c r="S6" s="11">
        <f>'  单体1#'!C12</f>
        <v>206.14</v>
      </c>
      <c r="T6" s="19">
        <f>SUM(U6:V6)</f>
        <v>97.5</v>
      </c>
      <c r="U6" s="11">
        <f>'  单体1#'!C13</f>
        <v>0</v>
      </c>
      <c r="V6" s="11">
        <f>'  单体1#'!C14</f>
        <v>97.5</v>
      </c>
      <c r="W6" s="20">
        <f>SUM(X6:X6)</f>
        <v>0</v>
      </c>
      <c r="X6" s="10"/>
      <c r="Y6" s="22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</row>
    <row r="7" spans="1:246" s="1" customFormat="1" ht="32.25" customHeight="1">
      <c r="A7" s="7" t="s">
        <v>47</v>
      </c>
      <c r="B7" s="8">
        <v>28</v>
      </c>
      <c r="C7" s="9"/>
      <c r="D7" s="10">
        <v>94.2</v>
      </c>
      <c r="E7" s="11">
        <v>3.15</v>
      </c>
      <c r="F7" s="11">
        <f>'2#'!C6</f>
        <v>1075.18</v>
      </c>
      <c r="G7" s="11">
        <f>H7+W7</f>
        <v>13720.36</v>
      </c>
      <c r="H7" s="11">
        <f t="shared" ref="H7:H9" si="0">I7+P7+T7</f>
        <v>13720.36</v>
      </c>
      <c r="I7" s="11">
        <f t="shared" ref="I7:I8" si="1">SUM(J7:O7)</f>
        <v>13053.72</v>
      </c>
      <c r="J7" s="11">
        <f>'  单体2#'!C4</f>
        <v>11370.57</v>
      </c>
      <c r="K7" s="11">
        <f>'  单体2#'!C5</f>
        <v>1683.15</v>
      </c>
      <c r="L7" s="11">
        <f>'  单体2#'!C6</f>
        <v>0</v>
      </c>
      <c r="M7" s="11">
        <f>'  单体2#'!C7</f>
        <v>0</v>
      </c>
      <c r="N7" s="11">
        <f>'  单体2#'!C8</f>
        <v>0</v>
      </c>
      <c r="O7" s="11">
        <f>'  单体2#'!C9</f>
        <v>0</v>
      </c>
      <c r="P7" s="11">
        <f t="shared" ref="P7:P11" si="2">SUM(Q7:S7)</f>
        <v>96.52</v>
      </c>
      <c r="Q7" s="11">
        <f>'  单体2#'!C10</f>
        <v>0</v>
      </c>
      <c r="R7" s="11">
        <f>'  单体2#'!C11</f>
        <v>96.52</v>
      </c>
      <c r="S7" s="11">
        <f>'  单体2#'!C12</f>
        <v>0</v>
      </c>
      <c r="T7" s="19">
        <f>SUM(U7:V7)</f>
        <v>570.12</v>
      </c>
      <c r="U7" s="11">
        <f>'  单体2#'!C13</f>
        <v>467.97</v>
      </c>
      <c r="V7" s="11">
        <f>'  单体2#'!C14</f>
        <v>102.15</v>
      </c>
      <c r="W7" s="20">
        <f>SUM(X7:X7)</f>
        <v>0</v>
      </c>
      <c r="X7" s="10"/>
      <c r="Y7" s="22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</row>
    <row r="8" spans="1:246" s="1" customFormat="1" ht="32.25" customHeight="1">
      <c r="A8" s="7" t="s">
        <v>54</v>
      </c>
      <c r="B8" s="8">
        <v>2</v>
      </c>
      <c r="C8" s="9"/>
      <c r="D8" s="10">
        <v>10.55</v>
      </c>
      <c r="E8" s="11">
        <v>4.8</v>
      </c>
      <c r="F8" s="11">
        <f>'15-5配电房'!C6</f>
        <v>269.83999999999997</v>
      </c>
      <c r="G8" s="11">
        <f>H8+W8</f>
        <v>425.14</v>
      </c>
      <c r="H8" s="11">
        <f t="shared" si="0"/>
        <v>425.14</v>
      </c>
      <c r="I8" s="11">
        <f t="shared" si="1"/>
        <v>57.16</v>
      </c>
      <c r="J8" s="11">
        <f>'单体15-5配电房'!C4</f>
        <v>0</v>
      </c>
      <c r="K8" s="11">
        <f>'单体15-5配电房'!C5</f>
        <v>0</v>
      </c>
      <c r="L8" s="11">
        <f>'单体15-5配电房'!C6</f>
        <v>0</v>
      </c>
      <c r="M8" s="11">
        <f>'单体15-5配电房'!C7</f>
        <v>0</v>
      </c>
      <c r="N8" s="11">
        <f>'单体15-5配电房'!C8</f>
        <v>0</v>
      </c>
      <c r="O8" s="11">
        <f>'单体15-5配电房'!C9</f>
        <v>57.16</v>
      </c>
      <c r="P8" s="11">
        <f t="shared" si="2"/>
        <v>367.98</v>
      </c>
      <c r="Q8" s="11">
        <f>'单体15-5配电房'!C10</f>
        <v>0</v>
      </c>
      <c r="R8" s="11">
        <f>'单体15-5配电房'!C11</f>
        <v>0</v>
      </c>
      <c r="S8" s="11">
        <f>'单体15-5配电房'!C12</f>
        <v>367.98</v>
      </c>
      <c r="T8" s="19">
        <f>SUM(U8:V8)</f>
        <v>0</v>
      </c>
      <c r="U8" s="11">
        <f>'单体15-5配电房'!C13</f>
        <v>0</v>
      </c>
      <c r="V8" s="11">
        <f>'单体15-5配电房'!C14</f>
        <v>0</v>
      </c>
      <c r="W8" s="20">
        <f>SUM(X8:X8)</f>
        <v>0</v>
      </c>
      <c r="X8" s="10"/>
      <c r="Y8" s="22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</row>
    <row r="9" spans="1:246" s="1" customFormat="1" ht="32.25" customHeight="1">
      <c r="A9" s="7" t="s">
        <v>151</v>
      </c>
      <c r="B9" s="8"/>
      <c r="C9" s="8">
        <v>2</v>
      </c>
      <c r="D9" s="10">
        <v>7.5</v>
      </c>
      <c r="E9" s="11">
        <v>3.75</v>
      </c>
      <c r="F9" s="11"/>
      <c r="G9" s="11">
        <f>H9+W9</f>
        <v>12783.26</v>
      </c>
      <c r="H9" s="11">
        <f t="shared" si="0"/>
        <v>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9"/>
      <c r="U9" s="19"/>
      <c r="V9" s="19"/>
      <c r="W9" s="20">
        <f>SUM(X9:X9)</f>
        <v>12783.26</v>
      </c>
      <c r="X9" s="10">
        <v>12783.26</v>
      </c>
      <c r="Y9" s="22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</row>
    <row r="10" spans="1:246" s="1" customFormat="1" ht="32.25" customHeight="1">
      <c r="A10" s="7"/>
      <c r="B10" s="8"/>
      <c r="C10" s="9"/>
      <c r="D10" s="10"/>
      <c r="E10" s="11"/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9"/>
      <c r="U10" s="19"/>
      <c r="V10" s="19"/>
      <c r="W10" s="20"/>
      <c r="X10" s="10"/>
      <c r="Y10" s="22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</row>
    <row r="11" spans="1:246" s="1" customFormat="1" ht="32.25" customHeight="1">
      <c r="A11" s="7"/>
      <c r="B11" s="8"/>
      <c r="C11" s="9"/>
      <c r="D11" s="10"/>
      <c r="E11" s="11"/>
      <c r="F11" s="12"/>
      <c r="G11" s="11"/>
      <c r="H11" s="11"/>
      <c r="I11" s="11"/>
      <c r="J11" s="11"/>
      <c r="K11" s="11"/>
      <c r="L11" s="11"/>
      <c r="M11" s="11"/>
      <c r="N11" s="11"/>
      <c r="O11" s="11"/>
      <c r="P11" s="11">
        <f t="shared" si="2"/>
        <v>0</v>
      </c>
      <c r="Q11" s="11"/>
      <c r="R11" s="11"/>
      <c r="S11" s="11"/>
      <c r="T11" s="19"/>
      <c r="U11" s="19"/>
      <c r="V11" s="19"/>
      <c r="W11" s="20"/>
      <c r="X11" s="10"/>
      <c r="Y11" s="22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</row>
    <row r="12" spans="1:246" s="1" customFormat="1" ht="32.25" customHeight="1">
      <c r="A12" s="7"/>
      <c r="B12" s="8"/>
      <c r="C12" s="9"/>
      <c r="D12" s="10"/>
      <c r="E12" s="11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9"/>
      <c r="U12" s="19"/>
      <c r="V12" s="19"/>
      <c r="W12" s="20"/>
      <c r="X12" s="10"/>
      <c r="Y12" s="22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</row>
    <row r="13" spans="1:246" s="1" customFormat="1" ht="32.25" customHeight="1">
      <c r="A13" s="7"/>
      <c r="B13" s="8"/>
      <c r="C13" s="9"/>
      <c r="D13" s="10"/>
      <c r="E13" s="11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9"/>
      <c r="U13" s="19"/>
      <c r="V13" s="19"/>
      <c r="W13" s="20"/>
      <c r="X13" s="10"/>
      <c r="Y13" s="22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</row>
    <row r="14" spans="1:246" s="1" customFormat="1" ht="32.25" customHeight="1">
      <c r="A14" s="7"/>
      <c r="B14" s="8"/>
      <c r="C14" s="9"/>
      <c r="D14" s="10"/>
      <c r="E14" s="9"/>
      <c r="F14" s="1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9"/>
      <c r="U14" s="19"/>
      <c r="V14" s="19"/>
      <c r="W14" s="20"/>
      <c r="X14" s="10"/>
      <c r="Y14" s="22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</row>
    <row r="15" spans="1:246" s="1" customFormat="1" ht="32.25" customHeight="1">
      <c r="A15" s="7"/>
      <c r="B15" s="8"/>
      <c r="C15" s="9"/>
      <c r="D15" s="10"/>
      <c r="E15" s="11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9"/>
      <c r="U15" s="19"/>
      <c r="V15" s="19"/>
      <c r="W15" s="20"/>
      <c r="X15" s="10"/>
      <c r="Y15" s="22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</row>
    <row r="16" spans="1:246" s="1" customFormat="1" ht="32.25" customHeight="1">
      <c r="A16" s="7"/>
      <c r="B16" s="8"/>
      <c r="C16" s="9"/>
      <c r="D16" s="10"/>
      <c r="E16" s="11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9"/>
      <c r="U16" s="19"/>
      <c r="V16" s="19"/>
      <c r="W16" s="20"/>
      <c r="X16" s="10"/>
      <c r="Y16" s="22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</row>
    <row r="17" spans="1:246" s="1" customFormat="1" ht="32.25" customHeight="1">
      <c r="A17" s="7"/>
      <c r="B17" s="8"/>
      <c r="C17" s="9"/>
      <c r="D17" s="10"/>
      <c r="E17" s="11"/>
      <c r="F17" s="13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9"/>
      <c r="U17" s="19"/>
      <c r="V17" s="19"/>
      <c r="W17" s="20"/>
      <c r="X17" s="10"/>
      <c r="Y17" s="22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</row>
    <row r="18" spans="1:246" s="1" customFormat="1" ht="32.25" customHeight="1">
      <c r="A18" s="14"/>
      <c r="B18" s="8"/>
      <c r="C18" s="9"/>
      <c r="D18" s="10"/>
      <c r="E18" s="11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9"/>
      <c r="U18" s="19"/>
      <c r="V18" s="19"/>
      <c r="W18" s="20"/>
      <c r="X18" s="10"/>
      <c r="Y18" s="22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</row>
    <row r="19" spans="1:246" s="1" customFormat="1" ht="32.25" customHeight="1">
      <c r="A19" s="7"/>
      <c r="B19" s="8"/>
      <c r="C19" s="8"/>
      <c r="D19" s="9"/>
      <c r="E19" s="9"/>
      <c r="F19" s="1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9"/>
      <c r="U19" s="19"/>
      <c r="V19" s="19"/>
      <c r="W19" s="20"/>
      <c r="X19" s="10"/>
      <c r="Y19" s="22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</row>
    <row r="20" spans="1:246" s="1" customFormat="1" ht="32.25" customHeight="1">
      <c r="A20" s="181" t="s">
        <v>42</v>
      </c>
      <c r="B20" s="182"/>
      <c r="C20" s="182"/>
      <c r="D20" s="9"/>
      <c r="E20" s="9"/>
      <c r="F20" s="11">
        <f t="shared" ref="F20:X20" si="3">SUM(F6:F19)</f>
        <v>2811.19</v>
      </c>
      <c r="G20" s="11">
        <f t="shared" si="3"/>
        <v>42780.75</v>
      </c>
      <c r="H20" s="11">
        <f t="shared" si="3"/>
        <v>29997.49</v>
      </c>
      <c r="I20" s="11">
        <f t="shared" si="3"/>
        <v>28266.58</v>
      </c>
      <c r="J20" s="11">
        <f t="shared" si="3"/>
        <v>24749.24</v>
      </c>
      <c r="K20" s="11">
        <f t="shared" si="3"/>
        <v>1802.45</v>
      </c>
      <c r="L20" s="11">
        <f t="shared" si="3"/>
        <v>1001.15</v>
      </c>
      <c r="M20" s="11">
        <f t="shared" si="3"/>
        <v>601.74</v>
      </c>
      <c r="N20" s="11">
        <f t="shared" si="3"/>
        <v>54.84</v>
      </c>
      <c r="O20" s="11">
        <f t="shared" si="3"/>
        <v>57.16</v>
      </c>
      <c r="P20" s="11">
        <f t="shared" si="3"/>
        <v>1063.29</v>
      </c>
      <c r="Q20" s="11">
        <f t="shared" si="3"/>
        <v>300.77999999999997</v>
      </c>
      <c r="R20" s="11">
        <f t="shared" si="3"/>
        <v>188.39</v>
      </c>
      <c r="S20" s="11">
        <f t="shared" si="3"/>
        <v>574.12</v>
      </c>
      <c r="T20" s="11">
        <f t="shared" si="3"/>
        <v>667.62</v>
      </c>
      <c r="U20" s="11">
        <f t="shared" si="3"/>
        <v>467.97</v>
      </c>
      <c r="V20" s="11">
        <f t="shared" si="3"/>
        <v>199.65</v>
      </c>
      <c r="W20" s="11">
        <f t="shared" si="3"/>
        <v>12783.26</v>
      </c>
      <c r="X20" s="11">
        <f t="shared" si="3"/>
        <v>12783.26</v>
      </c>
      <c r="Y20" s="22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</row>
    <row r="21" spans="1:246" s="1" customFormat="1" ht="87.75" customHeight="1">
      <c r="A21" s="183" t="s">
        <v>154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5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</row>
    <row r="22" spans="1:246" s="1" customFormat="1">
      <c r="A22" s="186" t="s">
        <v>155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</row>
  </sheetData>
  <mergeCells count="33">
    <mergeCell ref="U4:U5"/>
    <mergeCell ref="V4:V5"/>
    <mergeCell ref="W3:W5"/>
    <mergeCell ref="X4:X5"/>
    <mergeCell ref="Y2:Y5"/>
    <mergeCell ref="P4:P5"/>
    <mergeCell ref="Q4:Q5"/>
    <mergeCell ref="R4:R5"/>
    <mergeCell ref="S4:S5"/>
    <mergeCell ref="T4:T5"/>
    <mergeCell ref="A20:C20"/>
    <mergeCell ref="A21:Y21"/>
    <mergeCell ref="A22:Y22"/>
    <mergeCell ref="A2:A5"/>
    <mergeCell ref="D2:D5"/>
    <mergeCell ref="E2:E5"/>
    <mergeCell ref="F2:F5"/>
    <mergeCell ref="G2:G5"/>
    <mergeCell ref="H3:H5"/>
    <mergeCell ref="I4:I5"/>
    <mergeCell ref="J4:J5"/>
    <mergeCell ref="K4:K5"/>
    <mergeCell ref="L4:L5"/>
    <mergeCell ref="M4:M5"/>
    <mergeCell ref="N4:N5"/>
    <mergeCell ref="O4:O5"/>
    <mergeCell ref="A1:W1"/>
    <mergeCell ref="H2:V2"/>
    <mergeCell ref="W2:X2"/>
    <mergeCell ref="I3:O3"/>
    <mergeCell ref="P3:S3"/>
    <mergeCell ref="T3:V3"/>
    <mergeCell ref="B2:C4"/>
  </mergeCells>
  <phoneticPr fontId="99" type="noConversion"/>
  <printOptions horizontalCentered="1" verticalCentered="1"/>
  <pageMargins left="0.70833333333333304" right="0.70833333333333304" top="0.74791666666666701" bottom="0.74791666666666701" header="0.31458333333333299" footer="0.31458333333333299"/>
  <pageSetup paperSize="8" scale="76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5</vt:i4>
      </vt:variant>
    </vt:vector>
  </HeadingPairs>
  <TitlesOfParts>
    <vt:vector size="15" baseType="lpstr">
      <vt:lpstr>  单体1#</vt:lpstr>
      <vt:lpstr>1#</vt:lpstr>
      <vt:lpstr>  单体2#</vt:lpstr>
      <vt:lpstr>2#</vt:lpstr>
      <vt:lpstr>单体15-5配电房</vt:lpstr>
      <vt:lpstr>15-5配电房</vt:lpstr>
      <vt:lpstr>单地</vt:lpstr>
      <vt:lpstr>统地</vt:lpstr>
      <vt:lpstr>对比表</vt:lpstr>
      <vt:lpstr>综统</vt:lpstr>
      <vt:lpstr>'1#'!Print_Area</vt:lpstr>
      <vt:lpstr>'15-5配电房'!Print_Area</vt:lpstr>
      <vt:lpstr>'2#'!Print_Area</vt:lpstr>
      <vt:lpstr>对比表!Print_Area</vt:lpstr>
      <vt:lpstr>综统!Print_Area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王 肖龙</cp:lastModifiedBy>
  <cp:lastPrinted>2025-12-23T08:01:00Z</cp:lastPrinted>
  <dcterms:created xsi:type="dcterms:W3CDTF">2013-06-22T01:38:00Z</dcterms:created>
  <dcterms:modified xsi:type="dcterms:W3CDTF">2026-01-12T07:42:05Z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2052-11.8.2.12195</vt:lpwstr>
  </property>
  <property fmtid="{D5CDD505-2E9C-101B-9397-08002B2CF9AE}" pid="3" name="ICV">
    <vt:lpwstr>EF433CD181A641FF86BA47A175137E94</vt:lpwstr>
  </property>
</Properties>
</file>